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ersonal\Projects\Matrix Pinball\"/>
    </mc:Choice>
  </mc:AlternateContent>
  <xr:revisionPtr revIDLastSave="0" documentId="8_{1638170A-393A-4CA0-B82F-127FE0C1B169}" xr6:coauthVersionLast="47" xr6:coauthVersionMax="47" xr10:uidLastSave="{00000000-0000-0000-0000-000000000000}"/>
  <bookViews>
    <workbookView xWindow="7770" yWindow="4395" windowWidth="23535" windowHeight="16290" activeTab="3" xr2:uid="{00000000-000D-0000-FFFF-FFFF00000000}"/>
  </bookViews>
  <sheets>
    <sheet name="Parts" sheetId="1" r:id="rId1"/>
    <sheet name="First Order" sheetId="2" r:id="rId2"/>
    <sheet name="Second Order - Mar 2024" sheetId="3" r:id="rId3"/>
    <sheet name="Third Order - Oct 2024" sheetId="5" r:id="rId4"/>
    <sheet name="Measurements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5" l="1"/>
  <c r="E25" i="5"/>
  <c r="E24" i="5"/>
  <c r="E29" i="5"/>
  <c r="E22" i="5"/>
  <c r="E21" i="5"/>
  <c r="E20" i="5"/>
  <c r="E19" i="5"/>
  <c r="E32" i="5"/>
  <c r="E23" i="5"/>
  <c r="E18" i="5"/>
  <c r="E17" i="5"/>
  <c r="E16" i="5"/>
  <c r="E15" i="5"/>
  <c r="E14" i="5"/>
  <c r="E13" i="5"/>
  <c r="G174" i="1"/>
  <c r="F174" i="1"/>
  <c r="F172" i="1"/>
  <c r="F171" i="1"/>
  <c r="F50" i="1"/>
  <c r="E108" i="3"/>
  <c r="E107" i="3"/>
  <c r="E106" i="3"/>
  <c r="E105" i="3"/>
  <c r="E93" i="3"/>
  <c r="E125" i="3"/>
  <c r="E126" i="3"/>
  <c r="E127" i="3"/>
  <c r="E128" i="3"/>
  <c r="E129" i="3"/>
  <c r="E130" i="3"/>
  <c r="E122" i="3"/>
  <c r="E123" i="3"/>
  <c r="E124" i="3"/>
  <c r="E121" i="3"/>
  <c r="E90" i="3"/>
  <c r="E89" i="3"/>
  <c r="E88" i="3"/>
  <c r="E86" i="3"/>
  <c r="E22" i="3"/>
  <c r="E117" i="3"/>
  <c r="E116" i="3"/>
  <c r="E115" i="3"/>
  <c r="E114" i="3"/>
  <c r="E111" i="3"/>
  <c r="E102" i="3"/>
  <c r="E87" i="3"/>
  <c r="E100" i="3"/>
  <c r="E101" i="3"/>
  <c r="E74" i="3"/>
  <c r="E76" i="3"/>
  <c r="E75" i="3"/>
  <c r="E41" i="3"/>
  <c r="E97" i="3"/>
  <c r="E83" i="3"/>
  <c r="E21" i="3"/>
  <c r="E73" i="3"/>
  <c r="E65" i="3"/>
  <c r="E66" i="3"/>
  <c r="E67" i="3"/>
  <c r="E64" i="3"/>
  <c r="E58" i="3"/>
  <c r="E55" i="3"/>
  <c r="E54" i="3"/>
  <c r="E53" i="3"/>
  <c r="E48" i="3"/>
  <c r="E36" i="3"/>
  <c r="E27" i="3"/>
  <c r="E26" i="3"/>
  <c r="E25" i="3"/>
  <c r="E20" i="3"/>
  <c r="E40" i="3"/>
  <c r="E35" i="3"/>
  <c r="E31" i="3"/>
  <c r="E45" i="3"/>
  <c r="E17" i="3"/>
  <c r="E16" i="3"/>
  <c r="E13" i="3"/>
  <c r="F51" i="1"/>
  <c r="G51" i="1" s="1"/>
  <c r="F49" i="1"/>
  <c r="G49" i="1" s="1"/>
  <c r="G111" i="1"/>
  <c r="F139" i="1"/>
  <c r="G139" i="1" s="1"/>
  <c r="F138" i="1"/>
  <c r="G138" i="1" s="1"/>
  <c r="F52" i="1"/>
  <c r="G52" i="1" s="1"/>
  <c r="F28" i="1"/>
  <c r="G28" i="1" s="1"/>
  <c r="F132" i="1"/>
  <c r="G132" i="1" s="1"/>
  <c r="F82" i="1"/>
  <c r="F37" i="1"/>
  <c r="G37" i="1" s="1"/>
  <c r="F38" i="1"/>
  <c r="G38" i="1" s="1"/>
  <c r="F106" i="1"/>
  <c r="F105" i="1"/>
  <c r="F55" i="1"/>
  <c r="G55" i="1" s="1"/>
  <c r="F53" i="1"/>
  <c r="G53" i="1" s="1"/>
  <c r="G46" i="2"/>
  <c r="G43" i="2"/>
  <c r="G42" i="2"/>
  <c r="G41" i="2"/>
  <c r="G40" i="2"/>
  <c r="G39" i="2"/>
  <c r="G36" i="2"/>
  <c r="G35" i="2"/>
  <c r="G34" i="2"/>
  <c r="G33" i="2"/>
  <c r="G28" i="2"/>
  <c r="G27" i="2"/>
  <c r="G26" i="2"/>
  <c r="G25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F91" i="1"/>
  <c r="F81" i="1"/>
  <c r="F36" i="1"/>
  <c r="F30" i="1"/>
  <c r="G30" i="1" s="1"/>
  <c r="F27" i="1"/>
  <c r="G27" i="1" s="1"/>
  <c r="F45" i="1"/>
  <c r="F44" i="1"/>
  <c r="G44" i="1" s="1"/>
  <c r="F74" i="1"/>
  <c r="G74" i="1" s="1"/>
  <c r="F128" i="1"/>
  <c r="G128" i="1" s="1"/>
  <c r="F71" i="1"/>
  <c r="F70" i="1"/>
  <c r="F69" i="1"/>
  <c r="F68" i="1"/>
  <c r="F67" i="1"/>
  <c r="F64" i="1"/>
  <c r="F63" i="1"/>
  <c r="F62" i="1"/>
  <c r="F61" i="1"/>
  <c r="F26" i="1"/>
  <c r="G26" i="1" s="1"/>
  <c r="F25" i="1"/>
  <c r="G25" i="1" s="1"/>
  <c r="F10" i="1"/>
  <c r="G10" i="1" s="1"/>
  <c r="F35" i="1"/>
  <c r="F48" i="1"/>
  <c r="F41" i="1"/>
  <c r="F43" i="1"/>
  <c r="F42" i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9" i="1"/>
  <c r="G9" i="1" s="1"/>
  <c r="F79" i="1"/>
  <c r="F34" i="1"/>
  <c r="F33" i="1"/>
  <c r="F78" i="1"/>
  <c r="F77" i="1"/>
  <c r="F102" i="1"/>
  <c r="F80" i="1"/>
  <c r="F127" i="1"/>
  <c r="G127" i="1" s="1"/>
  <c r="G119" i="1"/>
  <c r="F119" i="1"/>
  <c r="F114" i="1"/>
  <c r="F113" i="1"/>
  <c r="F112" i="1"/>
  <c r="G99" i="1"/>
  <c r="E34" i="5" l="1"/>
  <c r="E35" i="5" s="1"/>
  <c r="E132" i="3"/>
  <c r="E133" i="3" s="1"/>
  <c r="F99" i="1"/>
  <c r="G58" i="1"/>
  <c r="F111" i="1"/>
  <c r="F58" i="1"/>
  <c r="F5" i="1"/>
  <c r="G5" i="1"/>
  <c r="G137" i="1"/>
  <c r="G126" i="1" s="1"/>
  <c r="F137" i="1"/>
  <c r="F126" i="1" s="1"/>
  <c r="F2" i="1" l="1"/>
  <c r="G2" i="1"/>
</calcChain>
</file>

<file path=xl/sharedStrings.xml><?xml version="1.0" encoding="utf-8"?>
<sst xmlns="http://schemas.openxmlformats.org/spreadsheetml/2006/main" count="525" uniqueCount="393">
  <si>
    <t>Planned Total</t>
  </si>
  <si>
    <t>Total Spent to Date</t>
  </si>
  <si>
    <t>Purchased Y/N</t>
  </si>
  <si>
    <t>Grand Totals:</t>
  </si>
  <si>
    <t xml:space="preserve">Item </t>
  </si>
  <si>
    <t>Supplier</t>
  </si>
  <si>
    <t xml:space="preserve">Cost </t>
  </si>
  <si>
    <t>Quantity</t>
  </si>
  <si>
    <t>Total Planned Cost</t>
  </si>
  <si>
    <t>Total Purchased</t>
  </si>
  <si>
    <t>Notes</t>
  </si>
  <si>
    <t>Cabinet &amp; Misc</t>
  </si>
  <si>
    <t>purchased!</t>
  </si>
  <si>
    <t>Playfield Mechs</t>
  </si>
  <si>
    <t>Custom Mechs</t>
  </si>
  <si>
    <t>Control Boards and Power Supplies</t>
  </si>
  <si>
    <t>Artwork</t>
  </si>
  <si>
    <t>Cabinet artwork</t>
  </si>
  <si>
    <t>?</t>
  </si>
  <si>
    <t>Playfield artwork</t>
  </si>
  <si>
    <t>Plastics artwork</t>
  </si>
  <si>
    <t>Translite Acrylic</t>
  </si>
  <si>
    <t>Translite Printing</t>
  </si>
  <si>
    <t>FAST Expansion Board (128 LEDs, 4 servos)</t>
  </si>
  <si>
    <t>https://shop.fastpinball.com/product/fast-expansion-board-128-leds-4-servos-/52?cs=true&amp;cst=custom</t>
  </si>
  <si>
    <t>https://shop.fastpinball.com/product/fast-expansion-board-256-leds-/51?cs=true&amp;cst=custom</t>
  </si>
  <si>
    <t>https://shop.fastpinball.com/product/7-ft-network-cable/29?cs=true&amp;cst=custom</t>
  </si>
  <si>
    <t>Various Network Cables (4x 3ft, 2x 7 ft)</t>
  </si>
  <si>
    <t>FAST Neuron Starter Bundle w/ Power Supply and 256 LEDs Expansion Board and Connectors Pins Pack</t>
  </si>
  <si>
    <t>FAST RGB/LED Insert</t>
  </si>
  <si>
    <t>Toys</t>
  </si>
  <si>
    <t>included in Fast Pinball order</t>
  </si>
  <si>
    <t>$110 USD shipping.</t>
  </si>
  <si>
    <t>McFarlane Matrix Sentinel DELUXE BOXED SET Figure 2003 Reloaded Spawn</t>
  </si>
  <si>
    <t>https://www.ebay.com.au/itm/285047893670</t>
  </si>
  <si>
    <t>Agents - Mid Field Popups</t>
  </si>
  <si>
    <t>https://www.pinballlife.com/the-hobbit-goblin-pop-up-assembly.html</t>
  </si>
  <si>
    <t>The Hobbit Orc Pop-Up Beast Assembly</t>
  </si>
  <si>
    <t>ALL PRICES CONVERTED TO USD</t>
  </si>
  <si>
    <t>https://www.pinballlife.com/ball-trough-assembly-8-ball.html</t>
  </si>
  <si>
    <t>https://www.pinballlife.com/upper-ball-trough-assembly-2-piece-set.html</t>
  </si>
  <si>
    <t>Ball Trough Assembly (8-Ball)</t>
  </si>
  <si>
    <t>Upper Ball Trough Assembly (2-piece set)</t>
  </si>
  <si>
    <t>https://www.pinballlife.com/black-triangular-button-guard-side-rails-for-stern.html</t>
  </si>
  <si>
    <t>Mounting tape for side rails</t>
  </si>
  <si>
    <t>https://www.pinballlife.com/index.php?p=product&amp;id=922</t>
  </si>
  <si>
    <t>Auto-plunger assembly</t>
  </si>
  <si>
    <t>https://www.pinballlife.com/shooter-lane-auto-kicker-assembly.html</t>
  </si>
  <si>
    <t>Ball Trough and Shooter</t>
  </si>
  <si>
    <t>https://www.pinballlife.com/stern-slide-pivot-support-bracket-left.html</t>
  </si>
  <si>
    <t>Playfield edge slide bracket</t>
  </si>
  <si>
    <t>https://www.pinballlife.com/stern-edge-slide-bracket.html</t>
  </si>
  <si>
    <t>Playfield pivot bracket</t>
  </si>
  <si>
    <t>https://www.pinballlife.com/stern-playfield-pivot-bracket-500-5329-03.html</t>
  </si>
  <si>
    <t>playfield hanger bracket</t>
  </si>
  <si>
    <t>https://www.pinballlife.com/stern-playfield-hanger-bracket.html</t>
  </si>
  <si>
    <t>Leg felt protectors</t>
  </si>
  <si>
    <t>https://www.pinballlife.com/index.php?p=product&amp;id=2434</t>
  </si>
  <si>
    <t>Leg brackets</t>
  </si>
  <si>
    <t>https://www.pinballlife.com/williamsbally-new-style-leg-bracket.html</t>
  </si>
  <si>
    <t>https://www.pinballlife.com/williamsbally-black-legs-set-of-4.html</t>
  </si>
  <si>
    <t>Tony - Facebook Marketplace</t>
  </si>
  <si>
    <t>Widebody Lockdown Bar with Action Button - Black River</t>
  </si>
  <si>
    <t>Lockdown Bar Reciever</t>
  </si>
  <si>
    <t>Stern Pinball Support Slide Bracket Kit for SPIKE &amp; SPIKE 2 Machines</t>
  </si>
  <si>
    <t>https://www.pinballlife.com/stern-pinball-support-slide-bracket-kit-for-spike-spike-2-machines.html</t>
  </si>
  <si>
    <t>https://www.pinballlife.com/williamsbally-wpc-95-black-backbox-hinge-set.html</t>
  </si>
  <si>
    <t>playfield glass side channels</t>
  </si>
  <si>
    <t>https://www.pinballlife.com/playfield-glass-side-rail-plastic-channel.html</t>
  </si>
  <si>
    <t>Widebody Playfield glass rear channel</t>
  </si>
  <si>
    <t>https://www.pinballlife.com/widebody-playfield-glass-rear-plastic-channel.html</t>
  </si>
  <si>
    <t>Knocker assembly</t>
  </si>
  <si>
    <t>https://www.pinballlife.com/williamsbally-knocker-assembly-for-williamsbally-wpc-wpc-95-pinball-machines.html</t>
  </si>
  <si>
    <t>Knocker plate</t>
  </si>
  <si>
    <t>https://www.pinballlife.com/knocker-strike-plate.html</t>
  </si>
  <si>
    <t>Williams tilt assembly</t>
  </si>
  <si>
    <t>https://www.pinballlife.com/williamsbally-complete-tilt-mechanism-assembly.html</t>
  </si>
  <si>
    <t>Backbox H channel between speaker and translite</t>
  </si>
  <si>
    <t>https://www.pinballlife.com/backbox-h-channel.html</t>
  </si>
  <si>
    <t>Cabinet Mechs</t>
  </si>
  <si>
    <t>Back Box</t>
  </si>
  <si>
    <t>Buttons</t>
  </si>
  <si>
    <t>Start Button</t>
  </si>
  <si>
    <t>https://www.pinballlife.com/williamsballystern-red-start-button.html</t>
  </si>
  <si>
    <t>Stern Slide &amp; Pivot Support Bracket - Right</t>
  </si>
  <si>
    <t>Stern Slide &amp; Pivot Support Bracket - Left</t>
  </si>
  <si>
    <t>https://www.pinballlife.com/8-x-58-slotted-hex-head-screw-for-new-style-leg-bracket.html</t>
  </si>
  <si>
    <t>Leg Leveler with Nylon Glide</t>
  </si>
  <si>
    <t>https://www.pinballlife.com/leg-leveler-with-nylon-glide.html</t>
  </si>
  <si>
    <t>Williams/Bally Black Legs - Set of 4</t>
  </si>
  <si>
    <t>https://www.pinballlife.com/mm5/merchant.mvc?Screen=PROD&amp;Product_Code=51-000067-03</t>
  </si>
  <si>
    <t>Williams/Bally WPC-95 Black Backbox Hinge Set</t>
  </si>
  <si>
    <t>Black Triangular Button Guard Side Rail Set For Stern</t>
  </si>
  <si>
    <t>Apron</t>
  </si>
  <si>
    <t>Other Parts</t>
  </si>
  <si>
    <t>1/4-20 x 1-1/4" Carriage Bolt (for backbox hinge and coin door)</t>
  </si>
  <si>
    <t>https://www.pinballlife.com/14-20-x-1-14-carriage-bolt.html</t>
  </si>
  <si>
    <t>1/4-20 Coin Door Whiz Flange Locknut (for backbox hinge and coin door)</t>
  </si>
  <si>
    <t>https://www.pinballlife.com/14-20-coin-door-whiz-flange-locknut.html</t>
  </si>
  <si>
    <t>Flippers</t>
  </si>
  <si>
    <t>Left flipper assembly</t>
  </si>
  <si>
    <t>https://www.pinballlife.com/full-flipper-assembly-for-williamsbally-machines-from-021992-to-101998.html</t>
  </si>
  <si>
    <t>Right flipper assembly</t>
  </si>
  <si>
    <t>Flipper bat</t>
  </si>
  <si>
    <t>https://www.pinballlife.com/flipper-bat-and-shaft-assemblies-no-logo.html</t>
  </si>
  <si>
    <t>Flipper rubber</t>
  </si>
  <si>
    <t>https://www.pinballlife.com/1-12-standard-size-translucent-high-gloss-super-bands-flipper-rubber-17016.html</t>
  </si>
  <si>
    <t>Slingshots</t>
  </si>
  <si>
    <t>Left slingshot assembly</t>
  </si>
  <si>
    <t>https://www.pinballlife.com/slingshot-assembly.html</t>
  </si>
  <si>
    <t>Right slingshot assembly</t>
  </si>
  <si>
    <t>Star Posts</t>
  </si>
  <si>
    <t>https://www.pinballlife.com/plastic-translucent-star-posts-1-116-tall.html</t>
  </si>
  <si>
    <t>Narrow plastic post tall</t>
  </si>
  <si>
    <t>https://www.pinballlife.com/data-eastsegastern-narrow-plastic-post-1-116-tall.html</t>
  </si>
  <si>
    <t>Rubbers - 2 1/2 in</t>
  </si>
  <si>
    <t>https://www.pinballlife.com/2-12-black-rubber-ring.html</t>
  </si>
  <si>
    <t>McFarlane Matrix Neo Real World Figure 2003</t>
  </si>
  <si>
    <t>https://www.ebay.com.au/itm/233937449117</t>
  </si>
  <si>
    <t>Matrix Team - 5 Pop Up Target Mech</t>
  </si>
  <si>
    <t>$51 AUD</t>
  </si>
  <si>
    <t>$183 AUD</t>
  </si>
  <si>
    <t>Drop Targets 5 Bank Second Hand (Solar-city 1976 or 77  Gottlieb )</t>
  </si>
  <si>
    <t>$90AUD</t>
  </si>
  <si>
    <t>Facebook Market Place</t>
  </si>
  <si>
    <t>https://www.alibaba.com/product-detail/American-Style-Twin-Coin-Acceptor-Metal_300555644.html?spm=a2700.galleryofferlist.normal_offer.d_title.14b62a9dhE0yFR</t>
  </si>
  <si>
    <t>Shaker Motor</t>
  </si>
  <si>
    <t>https://www.pinballlife.com/shaker-motor-assembly-for-jersey-jack-pinball-machines.html</t>
  </si>
  <si>
    <t>Coin Door w/ Coin Acceptors x2 and switches</t>
  </si>
  <si>
    <t>Purchased 2 additional coin acceptors for $22.</t>
  </si>
  <si>
    <t>Facebook marketplace</t>
  </si>
  <si>
    <t>$60 AUD from Pinball Sheldon</t>
  </si>
  <si>
    <t xml:space="preserve">Back box translite channels </t>
  </si>
  <si>
    <t>$20aud from pinball sheldon</t>
  </si>
  <si>
    <t>Possibly no longer required</t>
  </si>
  <si>
    <t xml:space="preserve">$50 AUD from Tony Sheldon pinball </t>
  </si>
  <si>
    <t>Mirror Blades for Stern Pinball Machines</t>
  </si>
  <si>
    <t>https://www.pinballlife.com/mm5/merchant.mvc?Screen=PROD&amp;Product_Code=PBL-200-0125-00</t>
  </si>
  <si>
    <t>https://www.pinballlife.com/cabinet-flipper-button-transparent-1-18-shaft.html</t>
  </si>
  <si>
    <t>Flipper buttons (non-illuminated)</t>
  </si>
  <si>
    <t>https://www.pinballlife.com/stern-ball-shooter-assembly.html</t>
  </si>
  <si>
    <t>Plunger Assembly</t>
  </si>
  <si>
    <t>Ball Shooter (Plunger) Housing Mounting Plate</t>
  </si>
  <si>
    <t>https://www.pinballlife.com/ball-shooter-plunger-housing-mounting-plate.html</t>
  </si>
  <si>
    <t>Rollover Triggers</t>
  </si>
  <si>
    <t>https://www.pinballlife.com/rollover-switch-with-mounting-bracket.html</t>
  </si>
  <si>
    <t>Roller over switch with mounting bracket</t>
  </si>
  <si>
    <t>Unsure on Total</t>
  </si>
  <si>
    <t>#8 x 5/8" Slotted Hex Head Screw for New Style Leg Bracket</t>
  </si>
  <si>
    <t>Price</t>
  </si>
  <si>
    <t>Qty</t>
  </si>
  <si>
    <t>Total</t>
  </si>
  <si>
    <t>Outlane Guides?</t>
  </si>
  <si>
    <t>TOTAL</t>
  </si>
  <si>
    <t>Love to fit in the trough gear into this first order.. But would hit the 1000AUD Tax threshhold (which includes shipping)</t>
  </si>
  <si>
    <t>Widebody Glass Panel - 1090 x 604 x 5mm</t>
  </si>
  <si>
    <t>16.98 AUD</t>
  </si>
  <si>
    <t>TV Wall Mount Bracket Tilt Swivel LCD LED Monitor 14,21,22,27 VESA 100</t>
  </si>
  <si>
    <t>https://www.ebay.com.au/itm/353489435819</t>
  </si>
  <si>
    <t>Alienware 27 Gaming Monitor - AW2723DF</t>
  </si>
  <si>
    <t>https://www.dell.com/en-au/shop/alienware-27-gaming-monitor-aw2723df/apd/210-bfoz/monitors-monitor-accessories</t>
  </si>
  <si>
    <t>$844 AUD</t>
  </si>
  <si>
    <t>Nixie Countdown</t>
  </si>
  <si>
    <t>2x Original box IN12 glow tube IN-12 Nixie Tubes</t>
  </si>
  <si>
    <t>Nixie tube holder socket PLUG for IN-14 IN-12 IN-18 IN-8-2 QS18-12 IN-8 IN-19 IV-11 IV-17 glow tube CLOCK IN18 IN14 IN8</t>
  </si>
  <si>
    <t>https://www.aliexpress.com/item/1005003380558568.html?spm=a2g0o.order_list.order_list_main.5.21ef18024SC4Io</t>
  </si>
  <si>
    <t>https://www.aliexpress.com/item/1005001661343691.html?spm=a2g0o.order_list.order_list_main.10.21ef18024SC4Io</t>
  </si>
  <si>
    <t>$46.46 AUD</t>
  </si>
  <si>
    <t>$18.16 AUD Total</t>
  </si>
  <si>
    <t>Pal Nut - Nylon (Button Nut to connect button to cabinet)</t>
  </si>
  <si>
    <t>Wood</t>
  </si>
  <si>
    <t>Measurements</t>
  </si>
  <si>
    <t>Ball Guides - Stainless Steel. 16 Guage (1.6mm) x 1 inch 26.5mm</t>
  </si>
  <si>
    <t>Upper Playfield Flipper</t>
  </si>
  <si>
    <t>https://www.marcospecialties.com/pinball-parts/515-7265-06</t>
  </si>
  <si>
    <t>https://www.marcospecialties.com/pinball-parts/04-10038</t>
  </si>
  <si>
    <t>https://shop.mrpinball.com.au/product/bushing-sleeve-assy-no-fear/</t>
  </si>
  <si>
    <t>12mm Birch Plywood (Playfield)</t>
  </si>
  <si>
    <t>Maltilda Vaneer</t>
  </si>
  <si>
    <t>18mm Birch Plywood - 2 Sheets</t>
  </si>
  <si>
    <t>Misc</t>
  </si>
  <si>
    <t xml:space="preserve">Soft Socket 5/8" No Scratch Leg Bolt Socket </t>
  </si>
  <si>
    <t>Machine Screw 10-32X5/8 p-ph-s (for plunger mounting plate) x4</t>
  </si>
  <si>
    <t>$2.36 AUD</t>
  </si>
  <si>
    <t xml:space="preserve">Leg Bolt - Black 2-3/4"(PACK OF 8) </t>
  </si>
  <si>
    <t>Switch Double Flip Assembly (500-6890-01)</t>
  </si>
  <si>
    <t>https://www.pinballspareparts.com.au/4010-01006-10.html</t>
  </si>
  <si>
    <t>https://www.pinballspareparts.com.au/soft-socket.html</t>
  </si>
  <si>
    <t>$11.35 AUD</t>
  </si>
  <si>
    <t>https://www.pinballspareparts.com.au/leg-bolt-black-2-3-4-pack-of-8.html</t>
  </si>
  <si>
    <t>$8.8 AUD</t>
  </si>
  <si>
    <t>https://www.pinballspareparts.com.au/500-6890-01.html</t>
  </si>
  <si>
    <t>$31.95 AUD</t>
  </si>
  <si>
    <t>https://www.pinballspareparts.com.au/02-3000-n.html</t>
  </si>
  <si>
    <t>$1.10 AUD</t>
  </si>
  <si>
    <t>Stereo Car Speakers</t>
  </si>
  <si>
    <t>Donated</t>
  </si>
  <si>
    <t>$438.77 AUD</t>
  </si>
  <si>
    <t>$153.90 AUD</t>
  </si>
  <si>
    <t>https://wirebot.xyz/</t>
  </si>
  <si>
    <t>Wire 1400 foot with 11 colours. Bulk Order inc shipping</t>
  </si>
  <si>
    <t>Kenwood KFC-WPS1200F 30 cm 12" Car Subwoofer</t>
  </si>
  <si>
    <t>https://www.streetsoundvision.com.au/kenwood-kfc-wps1200f-30-cm-12-car-subwoofer</t>
  </si>
  <si>
    <t>$194 AUD shipped</t>
  </si>
  <si>
    <t>Fosi Audio BT30D Pro TPA3255 Hi-Fi Bluetooth 5.0 Stereo Audio Amplifier</t>
  </si>
  <si>
    <t>inc Shipping.</t>
  </si>
  <si>
    <t>Ordering</t>
  </si>
  <si>
    <t>https://www.pinballlife.com/hobbit-bottom-arch-black.html</t>
  </si>
  <si>
    <t>Widebody Bottom Apro</t>
  </si>
  <si>
    <t>Middle Playfield</t>
  </si>
  <si>
    <t>Bottom Playfield</t>
  </si>
  <si>
    <t>Standup Targets</t>
  </si>
  <si>
    <t>https://www.pinballlife.com/anti-sway-1-frosted-3-ddeep-square-stand-up-target-assembly-with-diode.html</t>
  </si>
  <si>
    <t>QTY</t>
  </si>
  <si>
    <t>3 Bank Drop Assembly</t>
  </si>
  <si>
    <t>https://www.pinballlife.com/3-bank-drop-target-assembly-with-frosted-drop-targets.html</t>
  </si>
  <si>
    <t>Cost</t>
  </si>
  <si>
    <t>Shooter Lane</t>
  </si>
  <si>
    <t>https://www.pinballlife.com/hobbit-outer-shooter-lane-ball-guide-flat-rail.html</t>
  </si>
  <si>
    <t>Metal Guide - outer shooter lane.</t>
  </si>
  <si>
    <t>Metal Guide - inner shooter lane.</t>
  </si>
  <si>
    <t>https://www.pinballlife.com/hobbit-inner-shooter-lane-ball-guide-flat-rail.html</t>
  </si>
  <si>
    <t>https://www.pinballlife.com/wizard-of-oz-outhole-ball-guide-flat-rail.html</t>
  </si>
  <si>
    <t>https://www.pinballlife.com/scoop-weldment-assembly.html</t>
  </si>
  <si>
    <t>https://www.pinballlife.com/stern-ball-lock-assembly.html</t>
  </si>
  <si>
    <t>https://www.pinballlife.com/full-right-flipper-assembly-for-williamsbally-machines-from-021992-to-101998-copy.html</t>
  </si>
  <si>
    <t>Upper Right Flipper</t>
  </si>
  <si>
    <t>https://www.pinballlife.com/scoop-weldment-assembly-with-open-back.html</t>
  </si>
  <si>
    <t>Scoop Weldment Assembly with Open Back</t>
  </si>
  <si>
    <t>Scoop Weldment Assembly with Closed Back</t>
  </si>
  <si>
    <t>Ball Lock Assembly</t>
  </si>
  <si>
    <t>Ammo Lock</t>
  </si>
  <si>
    <t>Agents</t>
  </si>
  <si>
    <t>Trinity Ramp</t>
  </si>
  <si>
    <t>Right Flipper Mech</t>
  </si>
  <si>
    <t>Flipper Bat - Black</t>
  </si>
  <si>
    <t>Dejavu VUK</t>
  </si>
  <si>
    <t>Agents coming</t>
  </si>
  <si>
    <t>Kickback Shooter</t>
  </si>
  <si>
    <t>Williams/Bally Auto-Fire Assembly</t>
  </si>
  <si>
    <t>https://www.pinballlife.com/williamsbally-auto-fire-assembly.html</t>
  </si>
  <si>
    <t>JJP Outhole Ball Guide (Flat Rail)</t>
  </si>
  <si>
    <t>Outlane</t>
  </si>
  <si>
    <t>Wire Guides</t>
  </si>
  <si>
    <t>https://www.pinballlife.com/425-straight-wire-ball-guide.html</t>
  </si>
  <si>
    <t>13-3000-26</t>
  </si>
  <si>
    <t>13-3014-26</t>
  </si>
  <si>
    <t>https://www.pinballlife.com/the-hobbit-425-straight-wire-ball-guide.html</t>
  </si>
  <si>
    <t>13-3021-00</t>
  </si>
  <si>
    <t>https://www.pinballlife.com/right-return-lane-wire-ball-guide.html</t>
  </si>
  <si>
    <t>13-3000-05</t>
  </si>
  <si>
    <t>https://www.pinballlife.com/163-straight-wire-ball-guide.html</t>
  </si>
  <si>
    <t>Italian Bottom Guides</t>
  </si>
  <si>
    <t>https://www.pinballlife.com/stranger-things-one-way-gate-assembly.html</t>
  </si>
  <si>
    <t>Upper Playfield</t>
  </si>
  <si>
    <t>Complete Spinner Assembly With Switch (Left Side)</t>
  </si>
  <si>
    <t>https://www.pinballlife.com/complete-spinner-assembly-with-switch.html</t>
  </si>
  <si>
    <t>Real World Playfield</t>
  </si>
  <si>
    <t>Dejavu Ramp</t>
  </si>
  <si>
    <t>Sentinal Ramp</t>
  </si>
  <si>
    <t>Real World Ramp</t>
  </si>
  <si>
    <t>https://www.pinballlife.com/full-left-flipper-assembly-for-williamsbally-machines-from-021992-to-101998.html</t>
  </si>
  <si>
    <t>Flipper Rubber - Green</t>
  </si>
  <si>
    <t>Left Flipper Mech</t>
  </si>
  <si>
    <t>https://www.pinballlife.com/tspp-upper-playfield-yellow-mini-flipper-bat.html</t>
  </si>
  <si>
    <t>Flipper Bat and Shaft - Small</t>
  </si>
  <si>
    <t>https://www.pinballlife.com/1-mini-translucent-high-gloss-super-bands-flipper-rubber.html</t>
  </si>
  <si>
    <t>Mini Flipper Rubber - Blue</t>
  </si>
  <si>
    <t>Mission Drop</t>
  </si>
  <si>
    <t>1-Bank Smart Drop Target Assembly</t>
  </si>
  <si>
    <t>https://www.pinballlife.com/1-bank-smart-drop-target-assembly-left-frosted-target.html</t>
  </si>
  <si>
    <t>The Hobbit Warg Pop-Up Beast Assembly</t>
  </si>
  <si>
    <t>https://www.pinballlife.com/the-hobbit-warg-pop-up-assembly.html</t>
  </si>
  <si>
    <t>One Way Gate Assembly</t>
  </si>
  <si>
    <t>General Parts</t>
  </si>
  <si>
    <t>EMP Pop Bumper</t>
  </si>
  <si>
    <t>Sentinal Boss</t>
  </si>
  <si>
    <t>Cabinet</t>
  </si>
  <si>
    <t>https://www.pinballlife.com/jersey-jack-pinball-lockdown-bar-receiver-assembly.html</t>
  </si>
  <si>
    <t>Fast Pinball</t>
  </si>
  <si>
    <t>FAST I/O 1616 (16 switches, 16 drivers) (Neuron Version)</t>
  </si>
  <si>
    <t>Above with Connectors and Pins)</t>
  </si>
  <si>
    <t>https://shop.fastpinball.com/product/fast-i-o-1616-16-switches-16-drivers-/31?cs=true&amp;cst=custom</t>
  </si>
  <si>
    <t>3ft Network Cable</t>
  </si>
  <si>
    <t>https://shop.fastpinball.com/product/3-ft-network-cable/4?cs=true&amp;cst=custom</t>
  </si>
  <si>
    <t>AUD</t>
  </si>
  <si>
    <t>Vertical Mount Bracket Set</t>
  </si>
  <si>
    <t>https://shop.fastpinball.com/product/vertical-mount-bracket-set/7?cs=true&amp;cst=custom</t>
  </si>
  <si>
    <t>Hardware Notes/Purchases</t>
  </si>
  <si>
    <t>https://www.aliexpress.com/item/1005006071488810.html</t>
  </si>
  <si>
    <t>M5 Heat Insets. 50PCS, M5xL6xOD7</t>
  </si>
  <si>
    <t>https://www.aliexpress.com/item/1005005001662462.html</t>
  </si>
  <si>
    <t>M5 Stainless Steel Metric Thread. 20x 20mm and 10x 10mm</t>
  </si>
  <si>
    <t>https://www.pinballlife.com/williamsbally-infared-led-opto-assembly-set.html</t>
  </si>
  <si>
    <t>Williams/Bally Infared LED Opto Assembly Set</t>
  </si>
  <si>
    <t>https://www.pinballlife.com/stern-eject-vuk-assembly-500-1050-00.html</t>
  </si>
  <si>
    <t>Stern Eject VUK Assembly 500-1050-00</t>
  </si>
  <si>
    <t>Anti-Sway 1' x 5/8" Frosted 3D/Deep Rectangular Stand-Up Target Assembly With Diode</t>
  </si>
  <si>
    <t>https://www.pinballlife.com/anti-sway-1-x-58-frosted-3ddeep-rectangular-stand-up-target-assembly-with-diode.html</t>
  </si>
  <si>
    <t>https://www.pinballlife.com/metal-round-spacer-1-1116-6-32-thread-malefemale.html</t>
  </si>
  <si>
    <t>Metal Round Spacer 1-11/16" (#6-32 Thread, Male/Female)</t>
  </si>
  <si>
    <t>Complete Under Playfield Magnet Assembly</t>
  </si>
  <si>
    <t>https://www.pinballlife.com/complete-under-playfield-magnet-assembly.html</t>
  </si>
  <si>
    <t>Inserts</t>
  </si>
  <si>
    <t>1" Shield Transparent Ribbed Yellow Playfield Insert</t>
  </si>
  <si>
    <t>https://www.pinballlife.com/1-shield-transparent-ribbed-yellow-playfield-insert.html</t>
  </si>
  <si>
    <t>1-1/2" x 3/4" Obtuse Triangle Transparent Starburst Clear Playfield Insert</t>
  </si>
  <si>
    <t>https://www.pinballlife.com/1-12-x-34-obtuse-triangle-transparent-starburst-clear-playfield-insert.html</t>
  </si>
  <si>
    <t>1-13/16" x 15/16" Obtuse Triangle Transparent Starburst Clear Playfield Insert</t>
  </si>
  <si>
    <t>1" Round Transparent Starburst Clear Playfield Insert</t>
  </si>
  <si>
    <t>1-3/4" x 5/8" Bullet Transparent Ribbed Clear Playfield Insert</t>
  </si>
  <si>
    <t>https://www.pinballlife.com/1-34-x-58-bullet-transparent-ribbed-clear-playfield-insert.html</t>
  </si>
  <si>
    <t>https://www.pinballlife.com/1-round-transparent-starburst-clear-playfield-insert.html</t>
  </si>
  <si>
    <t>https://www.pinballlife.com/1-1316-x-1516-obtuse-triangle-transparent-starburst-clear-playfield-insert.html</t>
  </si>
  <si>
    <t>https://www.pinballlife.com/1-square-transparent-starburst-clear-playfield-insert.html</t>
  </si>
  <si>
    <t>1" Square Transparent Starburst Clear Playfield Insert</t>
  </si>
  <si>
    <t>1" x 5/16" Oval Transparent Outline Clear Playfield Insert</t>
  </si>
  <si>
    <t>https://www.pinballlife.com/1-x-516-oval-transparent-outline-clear-playfield-insert.html</t>
  </si>
  <si>
    <t>1-1/2" x 5/8" Triangle Transparent Starburst Clear Playfield Insert</t>
  </si>
  <si>
    <t>https://www.pinballlife.com/1-12-x-58-triangle-transparent-starburst-clear-playfield-insert.html</t>
  </si>
  <si>
    <t>https://www.pinballlife.com/2-x-1-triangle-transparent-starburst-clear-playfield-insert.html</t>
  </si>
  <si>
    <t>2" x 1" Triangle Transparent Starburst Clear Playfield Insert</t>
  </si>
  <si>
    <t>1-1/16" Equilateral Triangle Transparent Starburst Clear Playfield Insert</t>
  </si>
  <si>
    <t>https://www.pinballlife.com/1-116-equilateral-triangle-transparent-starburst-clear-playfield-insert.html</t>
  </si>
  <si>
    <t>Jersey Jack/Spooky Pinball Lockdown Bar Receiver Assembly w/ Action Button Slot</t>
  </si>
  <si>
    <t>2-1/4" Tall Metal Post With #10-32 Threaded Base &amp; #6-32 Threaded Female Top</t>
  </si>
  <si>
    <t>https://www.pinballlife.com/2-14-tall-metal-post-with-threaded-base-and-female-threaded-top.html</t>
  </si>
  <si>
    <t>1-1/16" Super-Bands Translucent Post Sleeves (Purple)</t>
  </si>
  <si>
    <t>Machine Post/Stud 530-5008-00</t>
  </si>
  <si>
    <t>https://www.pinballlife.com/machine-poststud-530-5008-00.html</t>
  </si>
  <si>
    <t>2-1/2" Tall Metal Post With #10-32 Threaded Base &amp; #8-32 Threaded Male Top</t>
  </si>
  <si>
    <t>https://www.pinballlife.com/2-12-tall-metal-post-with-10-threaded-base-and-8-threaded-top.html</t>
  </si>
  <si>
    <t>Checking Measurements</t>
  </si>
  <si>
    <t>Standup Targets to be min 16 mm deep (30 mm wide)</t>
  </si>
  <si>
    <t>Scoop - 38 wide, 37 depth</t>
  </si>
  <si>
    <t>Playfield holes:</t>
  </si>
  <si>
    <t>3 Drop Target - 16mm deep, 96mm wide</t>
  </si>
  <si>
    <t>Flipper Hole - 13mm</t>
  </si>
  <si>
    <t>Head - 52 deep, 42 wide</t>
  </si>
  <si>
    <t>Trough - 360 x 34</t>
  </si>
  <si>
    <t>Appearing Post Hole - 11mm</t>
  </si>
  <si>
    <t>GI Lights - 12mm</t>
  </si>
  <si>
    <t>Smart Drop - 13mm deep by 30 Wid</t>
  </si>
  <si>
    <t>Holes for 3D Print Heat Insert to Connect to Playfield</t>
  </si>
  <si>
    <t>Holes for wireform plugs</t>
  </si>
  <si>
    <t>3.2mm</t>
  </si>
  <si>
    <t>Additional 10mm in depth is ideal to get the screw to hit the playfield when connected.</t>
  </si>
  <si>
    <t>Blaupunkt 1500W 1-Channel, Monoblock Amplifier</t>
  </si>
  <si>
    <t>143 AUD Shipped</t>
  </si>
  <si>
    <t>https://www.amazon.com.au/dp/B0742N1Y6S?smid=A4XRJ8S0WXSO0&amp;ref_=chk_typ_imgToDp&amp;th=1</t>
  </si>
  <si>
    <t>GI Lights - for 3D print (e.g. Inlanes) - 15mm</t>
  </si>
  <si>
    <t>Gap for botom two wireforms - 20.321mm</t>
  </si>
  <si>
    <t>5mm hole for the playfield itself for bolt to go through</t>
  </si>
  <si>
    <t>Preferred:</t>
  </si>
  <si>
    <t>Additional Bolts</t>
  </si>
  <si>
    <t xml:space="preserve">Spade Bolts </t>
  </si>
  <si>
    <t>https://www.pinballspareparts.com.au/20-9284.html</t>
  </si>
  <si>
    <t>`</t>
  </si>
  <si>
    <t>Spade Bolt Thread Width - 8-32 (4.1mm). Hole: 4.5mm</t>
  </si>
  <si>
    <t>Machine Post/Stud 6-32 530-5012-02</t>
  </si>
  <si>
    <t>https://pinballhaus.com/shop/parts/playfield-parts/mini-post-with-base-thread-10-32-530-5005-00/</t>
  </si>
  <si>
    <t>https://pinballhaus.com/shop/parts/playfield-parts/machine-post-stud-6-32-530-5012-02/</t>
  </si>
  <si>
    <t>Mini Post with base thread 10-32" 530-5005-00</t>
  </si>
  <si>
    <t>Pan Screw With Locking Washer 10-32 x 1/2" 4010-01006-08</t>
  </si>
  <si>
    <t>https://pinballhaus.com/shop/parts/hardware/pan-screw-with-locking-washer-10-32-x-1-2-4010-01006-08/</t>
  </si>
  <si>
    <t>Aud</t>
  </si>
  <si>
    <t>https://www.pinballlife.com/snap-in-leg-leveler-slider.html</t>
  </si>
  <si>
    <t>'Snap-On Happy Sliders™ For Carpeting - Set of 4</t>
  </si>
  <si>
    <t>https://www.pinballlife.com/snap-in-leg-leveler-slider-with-felt.html</t>
  </si>
  <si>
    <t>'Snap-On Happy Sliders™ For Wood, Tile, Concrete &amp; Linoleum - Set of 4</t>
  </si>
  <si>
    <t>https://www.pinballlife.com/PBL-300-0161-00</t>
  </si>
  <si>
    <t>Glass Corner Protectors - Set of 2</t>
  </si>
  <si>
    <t>Shooter Lane Auto Kicker Assembly</t>
  </si>
  <si>
    <t>https://www.pinballlife.com/wizard-of-oz-bottom-arch-retainer-bracket.html</t>
  </si>
  <si>
    <t>Jersey Jack Pinball Arch Retainer Bracket</t>
  </si>
  <si>
    <t>https://www.pinballlife.com/williamsbally-playfield-hanger-short.html</t>
  </si>
  <si>
    <t>Williams/Bally Playfield Hanger Bracket - Short</t>
  </si>
  <si>
    <t>Addams</t>
  </si>
  <si>
    <t>https://www.pinballlife.com/the-addams-family-electric-chair-scoop-protector.html</t>
  </si>
  <si>
    <t>The Addams Family Electric Chair Scoop Protector</t>
  </si>
  <si>
    <t>1-1/16" Pinball (Standard Size)</t>
  </si>
  <si>
    <t>https://www.pinballlife.com/1-116-pinball-standard-size.html</t>
  </si>
  <si>
    <t>1-1/16" Zeitgeist-Ultra Pinball</t>
  </si>
  <si>
    <t>https://www.pinballlife.com/mm5/merchant.mvc?Screen=PROD&amp;Product_Code=20-6500_ZUP</t>
  </si>
  <si>
    <t>2" Black Champion Rubber Ring</t>
  </si>
  <si>
    <t>https://www.pinballlife.com/2-black-rubber-ring.html</t>
  </si>
  <si>
    <t>Machine Post/Stud 530-5012-02</t>
  </si>
  <si>
    <t>https://www.pinballlife.com/machine-poststud-530-5012-02.html</t>
  </si>
  <si>
    <t>Cabinet IO Board WITH Connectors + Pins</t>
  </si>
  <si>
    <t>https://shop.fastpinball.com/product/fast-cabinet-i-o-speciality-i-o-board-for-the-cabinet-/56</t>
  </si>
  <si>
    <t>Plastic Posts - Orange</t>
  </si>
  <si>
    <t>Plastic Posts - Blue</t>
  </si>
  <si>
    <t>Plastic Posts -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</si>
</sst>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6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i/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11"/>
      <color rgb="FF006100"/>
      <name val="Calibri"/>
      <family val="2"/>
      <scheme val="minor"/>
    </font>
    <font>
      <i/>
      <sz val="10"/>
      <name val="Arial"/>
      <family val="2"/>
    </font>
    <font>
      <sz val="10"/>
      <color rgb="FF000000"/>
      <name val="Arial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2" fillId="4" borderId="0" applyNumberFormat="0" applyBorder="0" applyAlignment="0" applyProtection="0"/>
    <xf numFmtId="44" fontId="14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2" fillId="0" borderId="0" xfId="0" applyFont="1" applyAlignment="1">
      <alignment wrapText="1"/>
    </xf>
    <xf numFmtId="0" fontId="5" fillId="0" borderId="0" xfId="1"/>
    <xf numFmtId="0" fontId="6" fillId="0" borderId="0" xfId="0" applyFont="1"/>
    <xf numFmtId="164" fontId="7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3" borderId="0" xfId="0" applyFill="1" applyAlignment="1">
      <alignment horizontal="left"/>
    </xf>
    <xf numFmtId="0" fontId="11" fillId="0" borderId="0" xfId="0" applyFont="1"/>
    <xf numFmtId="0" fontId="12" fillId="4" borderId="0" xfId="2"/>
    <xf numFmtId="164" fontId="12" fillId="4" borderId="0" xfId="2" applyNumberFormat="1"/>
    <xf numFmtId="0" fontId="8" fillId="0" borderId="0" xfId="0" applyFont="1" applyAlignment="1">
      <alignment wrapText="1"/>
    </xf>
    <xf numFmtId="0" fontId="13" fillId="0" borderId="0" xfId="0" applyFont="1"/>
    <xf numFmtId="0" fontId="8" fillId="2" borderId="0" xfId="0" applyFont="1" applyFill="1"/>
    <xf numFmtId="0" fontId="12" fillId="4" borderId="0" xfId="2" applyAlignment="1">
      <alignment wrapText="1"/>
    </xf>
    <xf numFmtId="8" fontId="12" fillId="4" borderId="0" xfId="2" applyNumberForma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44" fontId="11" fillId="0" borderId="0" xfId="3" applyFont="1" applyAlignment="1">
      <alignment horizontal="center"/>
    </xf>
    <xf numFmtId="44" fontId="0" fillId="0" borderId="0" xfId="3" applyFont="1" applyAlignment="1">
      <alignment horizontal="center"/>
    </xf>
    <xf numFmtId="0" fontId="15" fillId="0" borderId="0" xfId="0" applyFont="1"/>
    <xf numFmtId="164" fontId="0" fillId="0" borderId="0" xfId="0" applyNumberFormat="1"/>
  </cellXfs>
  <cellStyles count="4">
    <cellStyle name="Currency" xfId="3" builtinId="4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13</xdr:col>
      <xdr:colOff>581532</xdr:colOff>
      <xdr:row>46</xdr:row>
      <xdr:rowOff>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CCC16-C339-B402-5D12-15BE2EF32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781175"/>
          <a:ext cx="3629532" cy="566816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13</xdr:col>
      <xdr:colOff>324321</xdr:colOff>
      <xdr:row>65</xdr:row>
      <xdr:rowOff>66956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9A2D5-73E1-D870-20EC-090626F13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8582025"/>
          <a:ext cx="3372321" cy="201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nballlife.com/shooter-lane-auto-kicker-assembly.html" TargetMode="External"/><Relationship Id="rId13" Type="http://schemas.openxmlformats.org/officeDocument/2006/relationships/hyperlink" Target="https://www.pinballlife.com/index.php?p=product&amp;id=2434" TargetMode="External"/><Relationship Id="rId18" Type="http://schemas.openxmlformats.org/officeDocument/2006/relationships/hyperlink" Target="https://www.pinballlife.com/widebody-playfield-glass-rear-plastic-channel.html" TargetMode="External"/><Relationship Id="rId26" Type="http://schemas.openxmlformats.org/officeDocument/2006/relationships/hyperlink" Target="https://www.pinballlife.com/14-20-coin-door-whiz-flange-locknut.html" TargetMode="External"/><Relationship Id="rId39" Type="http://schemas.openxmlformats.org/officeDocument/2006/relationships/hyperlink" Target="https://www.aliexpress.com/item/1005003380558568.html?spm=a2g0o.order_list.order_list_main.5.21ef18024SC4Io" TargetMode="External"/><Relationship Id="rId3" Type="http://schemas.openxmlformats.org/officeDocument/2006/relationships/hyperlink" Target="https://www.ebay.com.au/itm/285047893670" TargetMode="External"/><Relationship Id="rId21" Type="http://schemas.openxmlformats.org/officeDocument/2006/relationships/hyperlink" Target="https://www.pinballlife.com/knocker-strike-plate.html" TargetMode="External"/><Relationship Id="rId34" Type="http://schemas.openxmlformats.org/officeDocument/2006/relationships/hyperlink" Target="https://www.pinballlife.com/data-eastsegastern-narrow-plastic-post-1-116-tall.html" TargetMode="External"/><Relationship Id="rId42" Type="http://schemas.openxmlformats.org/officeDocument/2006/relationships/hyperlink" Target="https://www.pinballspareparts.com.au/soft-socket.html" TargetMode="External"/><Relationship Id="rId7" Type="http://schemas.openxmlformats.org/officeDocument/2006/relationships/hyperlink" Target="https://www.pinballlife.com/index.php?p=product&amp;id=922" TargetMode="External"/><Relationship Id="rId12" Type="http://schemas.openxmlformats.org/officeDocument/2006/relationships/hyperlink" Target="https://www.pinballlife.com/stern-playfield-hanger-bracket.html" TargetMode="External"/><Relationship Id="rId17" Type="http://schemas.openxmlformats.org/officeDocument/2006/relationships/hyperlink" Target="https://www.pinballlife.com/williamsbally-wpc-95-black-backbox-hinge-set.html" TargetMode="External"/><Relationship Id="rId25" Type="http://schemas.openxmlformats.org/officeDocument/2006/relationships/hyperlink" Target="https://www.pinballlife.com/14-20-x-1-14-carriage-bolt.html" TargetMode="External"/><Relationship Id="rId33" Type="http://schemas.openxmlformats.org/officeDocument/2006/relationships/hyperlink" Target="https://www.pinballlife.com/plastic-translucent-star-posts-1-116-tall.html" TargetMode="External"/><Relationship Id="rId38" Type="http://schemas.openxmlformats.org/officeDocument/2006/relationships/hyperlink" Target="https://www.ebay.com.au/itm/353489435819" TargetMode="External"/><Relationship Id="rId2" Type="http://schemas.openxmlformats.org/officeDocument/2006/relationships/hyperlink" Target="https://shop.fastpinball.com/product/7-ft-network-cable/29?cs=true&amp;cst=custom" TargetMode="External"/><Relationship Id="rId16" Type="http://schemas.openxmlformats.org/officeDocument/2006/relationships/hyperlink" Target="https://www.pinballlife.com/williamsbally-lockdown-bar-lever-guide-receiver-assembly-wpcwpc-95.html" TargetMode="External"/><Relationship Id="rId20" Type="http://schemas.openxmlformats.org/officeDocument/2006/relationships/hyperlink" Target="https://www.pinballlife.com/williamsbally-knocker-assembly-for-williamsbally-wpc-wpc-95-pinball-machines.html" TargetMode="External"/><Relationship Id="rId29" Type="http://schemas.openxmlformats.org/officeDocument/2006/relationships/hyperlink" Target="https://www.pinballlife.com/flipper-bat-and-shaft-assemblies-no-logo.html" TargetMode="External"/><Relationship Id="rId41" Type="http://schemas.openxmlformats.org/officeDocument/2006/relationships/hyperlink" Target="https://www.pinballspareparts.com.au/4010-01006-10.html" TargetMode="External"/><Relationship Id="rId1" Type="http://schemas.openxmlformats.org/officeDocument/2006/relationships/hyperlink" Target="https://shop.fastpinball.com/product/fast-expansion-board-256-leds-/51?cs=true&amp;cst=custom" TargetMode="External"/><Relationship Id="rId6" Type="http://schemas.openxmlformats.org/officeDocument/2006/relationships/hyperlink" Target="https://www.pinballlife.com/black-triangular-button-guard-side-rails-for-stern.html" TargetMode="External"/><Relationship Id="rId11" Type="http://schemas.openxmlformats.org/officeDocument/2006/relationships/hyperlink" Target="https://www.pinballlife.com/stern-playfield-pivot-bracket-500-5329-03.html" TargetMode="External"/><Relationship Id="rId24" Type="http://schemas.openxmlformats.org/officeDocument/2006/relationships/hyperlink" Target="https://www.pinballlife.com/stern-slide-pivot-support-bracket-left.html" TargetMode="External"/><Relationship Id="rId32" Type="http://schemas.openxmlformats.org/officeDocument/2006/relationships/hyperlink" Target="https://www.pinballlife.com/slingshot-assembly.html" TargetMode="External"/><Relationship Id="rId37" Type="http://schemas.openxmlformats.org/officeDocument/2006/relationships/hyperlink" Target="https://www.dell.com/en-au/shop/alienware-27-gaming-monitor-aw2723df/apd/210-bfoz/monitors-monitor-accessories" TargetMode="External"/><Relationship Id="rId40" Type="http://schemas.openxmlformats.org/officeDocument/2006/relationships/hyperlink" Target="https://www.aliexpress.com/item/1005001661343691.html?spm=a2g0o.order_list.order_list_main.10.21ef18024SC4Io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pinballlife.com/upper-ball-trough-assembly-2-piece-set.html" TargetMode="External"/><Relationship Id="rId15" Type="http://schemas.openxmlformats.org/officeDocument/2006/relationships/hyperlink" Target="https://www.pinballlife.com/williamsbally-black-legs-set-of-4.html" TargetMode="External"/><Relationship Id="rId23" Type="http://schemas.openxmlformats.org/officeDocument/2006/relationships/hyperlink" Target="https://www.pinballlife.com/backbox-h-channel.html" TargetMode="External"/><Relationship Id="rId28" Type="http://schemas.openxmlformats.org/officeDocument/2006/relationships/hyperlink" Target="https://www.pinballlife.com/full-flipper-assembly-for-williamsbally-machines-from-021992-to-101998.html" TargetMode="External"/><Relationship Id="rId36" Type="http://schemas.openxmlformats.org/officeDocument/2006/relationships/hyperlink" Target="https://www.pinballlife.com/mm5/merchant.mvc?Screen=PROD&amp;Product_Code=PBL-200-0125-00" TargetMode="External"/><Relationship Id="rId10" Type="http://schemas.openxmlformats.org/officeDocument/2006/relationships/hyperlink" Target="https://www.pinballlife.com/stern-edge-slide-bracket.html" TargetMode="External"/><Relationship Id="rId19" Type="http://schemas.openxmlformats.org/officeDocument/2006/relationships/hyperlink" Target="https://www.pinballlife.com/playfield-glass-side-rail-plastic-channel.html" TargetMode="External"/><Relationship Id="rId31" Type="http://schemas.openxmlformats.org/officeDocument/2006/relationships/hyperlink" Target="https://www.pinballlife.com/slingshot-assembly.html" TargetMode="External"/><Relationship Id="rId44" Type="http://schemas.openxmlformats.org/officeDocument/2006/relationships/hyperlink" Target="https://www.streetsoundvision.com.au/kenwood-kfc-wps1200f-30-cm-12-car-subwoofer" TargetMode="External"/><Relationship Id="rId4" Type="http://schemas.openxmlformats.org/officeDocument/2006/relationships/hyperlink" Target="https://www.pinballlife.com/ball-trough-assembly-8-ball.html" TargetMode="External"/><Relationship Id="rId9" Type="http://schemas.openxmlformats.org/officeDocument/2006/relationships/hyperlink" Target="https://www.pinballlife.com/stern-slide-pivot-support-bracket-left.html" TargetMode="External"/><Relationship Id="rId14" Type="http://schemas.openxmlformats.org/officeDocument/2006/relationships/hyperlink" Target="https://www.pinballlife.com/williamsbally-new-style-leg-bracket.html" TargetMode="External"/><Relationship Id="rId22" Type="http://schemas.openxmlformats.org/officeDocument/2006/relationships/hyperlink" Target="https://www.pinballlife.com/williamsbally-complete-tilt-mechanism-assembly.html" TargetMode="External"/><Relationship Id="rId27" Type="http://schemas.openxmlformats.org/officeDocument/2006/relationships/hyperlink" Target="https://www.pinballlife.com/full-flipper-assembly-for-williamsbally-machines-from-021992-to-101998.html" TargetMode="External"/><Relationship Id="rId30" Type="http://schemas.openxmlformats.org/officeDocument/2006/relationships/hyperlink" Target="https://www.pinballlife.com/1-12-standard-size-translucent-high-gloss-super-bands-flipper-rubber-17016.html" TargetMode="External"/><Relationship Id="rId35" Type="http://schemas.openxmlformats.org/officeDocument/2006/relationships/hyperlink" Target="https://www.pinballlife.com/2-12-black-rubber-ring.html" TargetMode="External"/><Relationship Id="rId43" Type="http://schemas.openxmlformats.org/officeDocument/2006/relationships/hyperlink" Target="https://www.pinballspareparts.com.au/leg-bolt-black-2-3-4-pack-of-8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nballlife.com/stern-slide-pivot-support-bracket-left.html" TargetMode="External"/><Relationship Id="rId13" Type="http://schemas.openxmlformats.org/officeDocument/2006/relationships/hyperlink" Target="https://www.pinballlife.com/14-20-coin-door-whiz-flange-locknut.html" TargetMode="External"/><Relationship Id="rId18" Type="http://schemas.openxmlformats.org/officeDocument/2006/relationships/hyperlink" Target="https://www.pinballlife.com/flipper-bat-and-shaft-assemblies-no-logo.html" TargetMode="External"/><Relationship Id="rId3" Type="http://schemas.openxmlformats.org/officeDocument/2006/relationships/hyperlink" Target="https://www.pinballlife.com/stern-playfield-pivot-bracket-500-5329-03.html" TargetMode="External"/><Relationship Id="rId21" Type="http://schemas.openxmlformats.org/officeDocument/2006/relationships/hyperlink" Target="https://www.pinballlife.com/slingshot-assembly.html" TargetMode="External"/><Relationship Id="rId7" Type="http://schemas.openxmlformats.org/officeDocument/2006/relationships/hyperlink" Target="https://www.pinballlife.com/williamsbally-black-legs-set-of-4.html" TargetMode="External"/><Relationship Id="rId12" Type="http://schemas.openxmlformats.org/officeDocument/2006/relationships/hyperlink" Target="https://www.pinballlife.com/14-20-x-1-14-carriage-bolt.html" TargetMode="External"/><Relationship Id="rId17" Type="http://schemas.openxmlformats.org/officeDocument/2006/relationships/hyperlink" Target="https://www.pinballlife.com/full-flipper-assembly-for-williamsbally-machines-from-021992-to-101998.html" TargetMode="External"/><Relationship Id="rId2" Type="http://schemas.openxmlformats.org/officeDocument/2006/relationships/hyperlink" Target="https://www.pinballlife.com/stern-edge-slide-bracket.html" TargetMode="External"/><Relationship Id="rId16" Type="http://schemas.openxmlformats.org/officeDocument/2006/relationships/hyperlink" Target="https://www.pinballlife.com/full-flipper-assembly-for-williamsbally-machines-from-021992-to-101998.html" TargetMode="External"/><Relationship Id="rId20" Type="http://schemas.openxmlformats.org/officeDocument/2006/relationships/hyperlink" Target="https://www.pinballlife.com/slingshot-assembly.html" TargetMode="External"/><Relationship Id="rId1" Type="http://schemas.openxmlformats.org/officeDocument/2006/relationships/hyperlink" Target="https://www.pinballlife.com/stern-slide-pivot-support-bracket-left.html" TargetMode="External"/><Relationship Id="rId6" Type="http://schemas.openxmlformats.org/officeDocument/2006/relationships/hyperlink" Target="https://www.pinballlife.com/williamsbally-new-style-leg-bracket.html" TargetMode="External"/><Relationship Id="rId11" Type="http://schemas.openxmlformats.org/officeDocument/2006/relationships/hyperlink" Target="https://www.pinballlife.com/playfield-glass-side-rail-plastic-channel.html" TargetMode="External"/><Relationship Id="rId24" Type="http://schemas.openxmlformats.org/officeDocument/2006/relationships/hyperlink" Target="https://www.pinballlife.com/2-12-black-rubber-ring.html" TargetMode="External"/><Relationship Id="rId5" Type="http://schemas.openxmlformats.org/officeDocument/2006/relationships/hyperlink" Target="https://www.pinballlife.com/index.php?p=product&amp;id=2434" TargetMode="External"/><Relationship Id="rId15" Type="http://schemas.openxmlformats.org/officeDocument/2006/relationships/hyperlink" Target="https://www.pinballlife.com/index.php?p=product&amp;id=922" TargetMode="External"/><Relationship Id="rId23" Type="http://schemas.openxmlformats.org/officeDocument/2006/relationships/hyperlink" Target="https://www.pinballlife.com/data-eastsegastern-narrow-plastic-post-1-116-tall.html" TargetMode="External"/><Relationship Id="rId10" Type="http://schemas.openxmlformats.org/officeDocument/2006/relationships/hyperlink" Target="https://www.pinballlife.com/widebody-playfield-glass-rear-plastic-channel.html" TargetMode="External"/><Relationship Id="rId19" Type="http://schemas.openxmlformats.org/officeDocument/2006/relationships/hyperlink" Target="https://www.pinballlife.com/1-12-standard-size-translucent-high-gloss-super-bands-flipper-rubber-17016.html" TargetMode="External"/><Relationship Id="rId4" Type="http://schemas.openxmlformats.org/officeDocument/2006/relationships/hyperlink" Target="https://www.pinballlife.com/stern-playfield-hanger-bracket.html" TargetMode="External"/><Relationship Id="rId9" Type="http://schemas.openxmlformats.org/officeDocument/2006/relationships/hyperlink" Target="https://www.pinballlife.com/williamsbally-wpc-95-black-backbox-hinge-set.html" TargetMode="External"/><Relationship Id="rId14" Type="http://schemas.openxmlformats.org/officeDocument/2006/relationships/hyperlink" Target="https://www.pinballlife.com/black-triangular-button-guard-side-rails-for-stern.html" TargetMode="External"/><Relationship Id="rId22" Type="http://schemas.openxmlformats.org/officeDocument/2006/relationships/hyperlink" Target="https://www.pinballlife.com/plastic-translucent-star-posts-1-116-tall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inballlife.com/1-bank-smart-drop-target-assembly-left-frosted-target.html" TargetMode="External"/><Relationship Id="rId2" Type="http://schemas.openxmlformats.org/officeDocument/2006/relationships/hyperlink" Target="https://www.pinballlife.com/wizard-of-oz-outhole-ball-guide-flat-rail.html" TargetMode="External"/><Relationship Id="rId1" Type="http://schemas.openxmlformats.org/officeDocument/2006/relationships/hyperlink" Target="https://www.pinballlife.com/hobbit-inner-shooter-lane-ball-guide-flat-rail.html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88"/>
  <sheetViews>
    <sheetView workbookViewId="0">
      <pane ySplit="4" topLeftCell="A5" activePane="bottomLeft" state="frozen"/>
      <selection pane="bottomLeft" activeCell="B25" sqref="B25"/>
    </sheetView>
  </sheetViews>
  <sheetFormatPr defaultColWidth="12.5703125" defaultRowHeight="15.75" customHeight="1" x14ac:dyDescent="0.2"/>
  <cols>
    <col min="1" max="1" width="19.28515625" customWidth="1"/>
    <col min="2" max="2" width="67.5703125" customWidth="1"/>
    <col min="3" max="3" width="21.7109375" customWidth="1"/>
    <col min="6" max="6" width="15" customWidth="1"/>
    <col min="7" max="7" width="16" customWidth="1"/>
    <col min="8" max="8" width="71.42578125" customWidth="1"/>
  </cols>
  <sheetData>
    <row r="1" spans="1:28" ht="12.75" x14ac:dyDescent="0.2">
      <c r="A1" s="1"/>
      <c r="E1" s="2"/>
      <c r="F1" s="3" t="s">
        <v>0</v>
      </c>
      <c r="G1" s="3" t="s">
        <v>1</v>
      </c>
    </row>
    <row r="2" spans="1:28" ht="12.75" x14ac:dyDescent="0.2">
      <c r="A2" s="1" t="s">
        <v>2</v>
      </c>
      <c r="E2" s="2" t="s">
        <v>3</v>
      </c>
      <c r="F2" s="3">
        <f>SUM(F5+F58+F111+F119+F126+F99)</f>
        <v>7519.7999999999984</v>
      </c>
      <c r="G2" s="3">
        <f>SUM(G5+G58+G111+G119+G126+G99)</f>
        <v>2694.5999999999995</v>
      </c>
      <c r="H2" s="19" t="s">
        <v>38</v>
      </c>
    </row>
    <row r="3" spans="1:28" ht="12.75" x14ac:dyDescent="0.2">
      <c r="B3" s="4"/>
      <c r="C3" s="4"/>
      <c r="D3" s="5"/>
      <c r="E3" s="4"/>
      <c r="F3" s="4"/>
      <c r="G3" s="4"/>
    </row>
    <row r="4" spans="1:28" ht="12.75" x14ac:dyDescent="0.2"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28" ht="12.75" x14ac:dyDescent="0.2">
      <c r="A5" s="6" t="s">
        <v>11</v>
      </c>
      <c r="B5" s="6"/>
      <c r="C5" s="6"/>
      <c r="D5" s="6"/>
      <c r="E5" s="6"/>
      <c r="F5" s="7">
        <f>SUM(F6:F53)</f>
        <v>1767.6200000000001</v>
      </c>
      <c r="G5" s="7">
        <f>SUM(G6:G57)</f>
        <v>1453.7699999999998</v>
      </c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x14ac:dyDescent="0.2">
      <c r="A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x14ac:dyDescent="0.2">
      <c r="A7" s="8"/>
      <c r="G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x14ac:dyDescent="0.2">
      <c r="A8" s="8"/>
      <c r="G8" s="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x14ac:dyDescent="0.2">
      <c r="A9" s="14"/>
      <c r="B9" s="17" t="s">
        <v>84</v>
      </c>
      <c r="C9" s="13" t="s">
        <v>49</v>
      </c>
      <c r="D9" s="15">
        <v>3.95</v>
      </c>
      <c r="E9" s="17">
        <v>1</v>
      </c>
      <c r="F9" s="15">
        <f t="shared" ref="F9:F22" si="0">E9*D9</f>
        <v>3.95</v>
      </c>
      <c r="G9" s="15">
        <f>F9</f>
        <v>3.95</v>
      </c>
    </row>
    <row r="10" spans="1:28" ht="12.75" x14ac:dyDescent="0.2">
      <c r="A10" s="14"/>
      <c r="B10" s="17" t="s">
        <v>85</v>
      </c>
      <c r="C10" s="13" t="s">
        <v>49</v>
      </c>
      <c r="D10" s="15">
        <v>3.95</v>
      </c>
      <c r="E10" s="17">
        <v>1</v>
      </c>
      <c r="F10" s="15">
        <f>E10*D10</f>
        <v>3.95</v>
      </c>
      <c r="G10" s="15">
        <f t="shared" ref="G10:G26" si="1">F10</f>
        <v>3.95</v>
      </c>
    </row>
    <row r="11" spans="1:28" ht="12.75" x14ac:dyDescent="0.2">
      <c r="A11" s="14"/>
      <c r="B11" s="17" t="s">
        <v>50</v>
      </c>
      <c r="C11" s="20" t="s">
        <v>51</v>
      </c>
      <c r="D11" s="15">
        <v>3.95</v>
      </c>
      <c r="E11" s="17">
        <v>2</v>
      </c>
      <c r="F11" s="15">
        <f t="shared" si="0"/>
        <v>7.9</v>
      </c>
      <c r="G11" s="15">
        <f t="shared" si="1"/>
        <v>7.9</v>
      </c>
    </row>
    <row r="12" spans="1:28" ht="12.75" x14ac:dyDescent="0.2">
      <c r="A12" s="14"/>
      <c r="B12" s="17" t="s">
        <v>52</v>
      </c>
      <c r="C12" s="20" t="s">
        <v>53</v>
      </c>
      <c r="D12" s="15">
        <v>5.95</v>
      </c>
      <c r="E12" s="17">
        <v>2</v>
      </c>
      <c r="F12" s="15">
        <f t="shared" si="0"/>
        <v>11.9</v>
      </c>
      <c r="G12" s="15">
        <f t="shared" si="1"/>
        <v>11.9</v>
      </c>
    </row>
    <row r="13" spans="1:28" ht="15" customHeight="1" x14ac:dyDescent="0.2">
      <c r="A13" s="14"/>
      <c r="B13" s="17" t="s">
        <v>54</v>
      </c>
      <c r="C13" s="20" t="s">
        <v>55</v>
      </c>
      <c r="D13" s="15">
        <v>9.9499999999999993</v>
      </c>
      <c r="E13" s="17">
        <v>2</v>
      </c>
      <c r="F13" s="15">
        <f t="shared" si="0"/>
        <v>19.899999999999999</v>
      </c>
      <c r="G13" s="15">
        <f t="shared" si="1"/>
        <v>19.899999999999999</v>
      </c>
    </row>
    <row r="14" spans="1:28" ht="12.75" x14ac:dyDescent="0.2">
      <c r="A14" s="14"/>
      <c r="B14" s="17" t="s">
        <v>56</v>
      </c>
      <c r="C14" s="20" t="s">
        <v>57</v>
      </c>
      <c r="D14" s="15">
        <v>9.9499999999999993</v>
      </c>
      <c r="E14" s="17">
        <v>1</v>
      </c>
      <c r="F14" s="15">
        <f t="shared" si="0"/>
        <v>9.9499999999999993</v>
      </c>
      <c r="G14" s="15">
        <f t="shared" si="1"/>
        <v>9.9499999999999993</v>
      </c>
    </row>
    <row r="15" spans="1:28" ht="12.75" x14ac:dyDescent="0.2">
      <c r="A15" s="14"/>
      <c r="B15" s="17" t="s">
        <v>58</v>
      </c>
      <c r="C15" s="20" t="s">
        <v>59</v>
      </c>
      <c r="D15" s="15">
        <v>6.95</v>
      </c>
      <c r="E15" s="17">
        <v>4</v>
      </c>
      <c r="F15" s="15">
        <f t="shared" si="0"/>
        <v>27.8</v>
      </c>
      <c r="G15" s="15">
        <f t="shared" si="1"/>
        <v>27.8</v>
      </c>
    </row>
    <row r="16" spans="1:28" ht="12.75" x14ac:dyDescent="0.2">
      <c r="A16" s="14"/>
      <c r="B16" s="17" t="s">
        <v>148</v>
      </c>
      <c r="C16" s="20" t="s">
        <v>86</v>
      </c>
      <c r="D16" s="15">
        <v>0.15</v>
      </c>
      <c r="E16" s="17">
        <v>30</v>
      </c>
      <c r="F16" s="15">
        <f t="shared" si="0"/>
        <v>4.5</v>
      </c>
      <c r="G16" s="15">
        <f t="shared" si="1"/>
        <v>4.5</v>
      </c>
    </row>
    <row r="17" spans="1:8" ht="12.75" x14ac:dyDescent="0.2">
      <c r="A17" s="14"/>
      <c r="B17" s="17" t="s">
        <v>87</v>
      </c>
      <c r="C17" s="20" t="s">
        <v>88</v>
      </c>
      <c r="D17" s="15">
        <v>2.95</v>
      </c>
      <c r="E17" s="17">
        <v>4</v>
      </c>
      <c r="F17" s="15">
        <f t="shared" si="0"/>
        <v>11.8</v>
      </c>
      <c r="G17" s="15">
        <f t="shared" si="1"/>
        <v>11.8</v>
      </c>
    </row>
    <row r="18" spans="1:8" ht="12.75" x14ac:dyDescent="0.2">
      <c r="A18" s="14"/>
      <c r="B18" s="17" t="s">
        <v>89</v>
      </c>
      <c r="C18" s="13" t="s">
        <v>60</v>
      </c>
      <c r="D18" s="15">
        <v>69.95</v>
      </c>
      <c r="E18" s="17">
        <v>1</v>
      </c>
      <c r="F18" s="15">
        <f t="shared" si="0"/>
        <v>69.95</v>
      </c>
      <c r="G18" s="15">
        <f t="shared" si="1"/>
        <v>69.95</v>
      </c>
    </row>
    <row r="19" spans="1:8" ht="12.75" x14ac:dyDescent="0.2">
      <c r="A19" s="14"/>
      <c r="B19" s="17" t="s">
        <v>62</v>
      </c>
      <c r="C19" s="13" t="s">
        <v>90</v>
      </c>
      <c r="D19" s="15">
        <v>99.95</v>
      </c>
      <c r="E19" s="17">
        <v>1</v>
      </c>
      <c r="F19" s="15">
        <f t="shared" si="0"/>
        <v>99.95</v>
      </c>
      <c r="G19" s="15">
        <f t="shared" si="1"/>
        <v>99.95</v>
      </c>
    </row>
    <row r="20" spans="1:8" s="23" customFormat="1" ht="15" x14ac:dyDescent="0.25">
      <c r="A20" s="23" t="s">
        <v>12</v>
      </c>
      <c r="B20" s="23" t="s">
        <v>63</v>
      </c>
      <c r="C20" s="23" t="s">
        <v>61</v>
      </c>
      <c r="D20" s="24">
        <v>5</v>
      </c>
      <c r="E20" s="23">
        <v>1</v>
      </c>
      <c r="F20" s="24">
        <f t="shared" si="0"/>
        <v>5</v>
      </c>
      <c r="G20" s="24">
        <f t="shared" si="1"/>
        <v>5</v>
      </c>
    </row>
    <row r="21" spans="1:8" ht="12.75" x14ac:dyDescent="0.2">
      <c r="A21" s="14"/>
      <c r="B21" s="17" t="s">
        <v>64</v>
      </c>
      <c r="C21" s="20" t="s">
        <v>65</v>
      </c>
      <c r="D21" s="15">
        <v>49.95</v>
      </c>
      <c r="E21" s="17">
        <v>1</v>
      </c>
      <c r="F21" s="15">
        <f t="shared" si="0"/>
        <v>49.95</v>
      </c>
      <c r="G21" s="15">
        <f t="shared" si="1"/>
        <v>49.95</v>
      </c>
    </row>
    <row r="22" spans="1:8" ht="12.75" x14ac:dyDescent="0.2">
      <c r="A22" s="14"/>
      <c r="B22" s="17" t="s">
        <v>91</v>
      </c>
      <c r="C22" s="20" t="s">
        <v>66</v>
      </c>
      <c r="D22" s="15">
        <v>34.950000000000003</v>
      </c>
      <c r="E22" s="17">
        <v>1</v>
      </c>
      <c r="F22" s="15">
        <f t="shared" si="0"/>
        <v>34.950000000000003</v>
      </c>
      <c r="G22" s="15">
        <f t="shared" si="1"/>
        <v>34.950000000000003</v>
      </c>
    </row>
    <row r="23" spans="1:8" ht="12.75" x14ac:dyDescent="0.2">
      <c r="A23" s="14"/>
      <c r="B23" s="17" t="s">
        <v>357</v>
      </c>
      <c r="C23" s="13" t="s">
        <v>70</v>
      </c>
      <c r="D23" s="15">
        <v>8.5</v>
      </c>
      <c r="E23" s="17">
        <v>1</v>
      </c>
      <c r="F23" s="15">
        <f t="shared" ref="F23:F28" si="2">E23*D23</f>
        <v>8.5</v>
      </c>
      <c r="G23" s="15">
        <f t="shared" si="1"/>
        <v>8.5</v>
      </c>
    </row>
    <row r="24" spans="1:8" ht="12.75" x14ac:dyDescent="0.2">
      <c r="A24" s="14"/>
      <c r="B24" s="17" t="s">
        <v>67</v>
      </c>
      <c r="C24" s="20" t="s">
        <v>68</v>
      </c>
      <c r="D24" s="15">
        <v>8.9499999999999993</v>
      </c>
      <c r="E24" s="17">
        <v>2</v>
      </c>
      <c r="F24" s="15">
        <f t="shared" si="2"/>
        <v>17.899999999999999</v>
      </c>
      <c r="G24" s="15">
        <f t="shared" si="1"/>
        <v>17.899999999999999</v>
      </c>
    </row>
    <row r="25" spans="1:8" ht="12.75" x14ac:dyDescent="0.2">
      <c r="A25" s="14"/>
      <c r="B25" s="17" t="s">
        <v>95</v>
      </c>
      <c r="C25" s="20" t="s">
        <v>96</v>
      </c>
      <c r="D25" s="15">
        <v>0.36</v>
      </c>
      <c r="E25" s="17">
        <v>12</v>
      </c>
      <c r="F25" s="15">
        <f t="shared" si="2"/>
        <v>4.32</v>
      </c>
      <c r="G25" s="15">
        <f t="shared" si="1"/>
        <v>4.32</v>
      </c>
    </row>
    <row r="26" spans="1:8" ht="12.75" x14ac:dyDescent="0.2">
      <c r="A26" s="14"/>
      <c r="B26" s="17" t="s">
        <v>97</v>
      </c>
      <c r="C26" s="20" t="s">
        <v>98</v>
      </c>
      <c r="D26" s="15">
        <v>0.15</v>
      </c>
      <c r="E26" s="17">
        <v>12</v>
      </c>
      <c r="F26" s="15">
        <f t="shared" si="2"/>
        <v>1.7999999999999998</v>
      </c>
      <c r="G26" s="15">
        <f t="shared" si="1"/>
        <v>1.7999999999999998</v>
      </c>
    </row>
    <row r="27" spans="1:8" s="23" customFormat="1" ht="15" x14ac:dyDescent="0.25">
      <c r="A27" s="23" t="s">
        <v>12</v>
      </c>
      <c r="B27" s="23" t="s">
        <v>155</v>
      </c>
      <c r="C27" s="23" t="s">
        <v>130</v>
      </c>
      <c r="D27" s="24">
        <v>41.6</v>
      </c>
      <c r="E27" s="23">
        <v>1</v>
      </c>
      <c r="F27" s="24">
        <f t="shared" si="2"/>
        <v>41.6</v>
      </c>
      <c r="G27" s="24">
        <f>F27</f>
        <v>41.6</v>
      </c>
      <c r="H27" s="23" t="s">
        <v>131</v>
      </c>
    </row>
    <row r="28" spans="1:8" s="23" customFormat="1" ht="15" x14ac:dyDescent="0.25">
      <c r="A28" s="23" t="s">
        <v>12</v>
      </c>
      <c r="B28" s="23" t="s">
        <v>184</v>
      </c>
      <c r="C28" s="23" t="s">
        <v>189</v>
      </c>
      <c r="D28" s="29">
        <v>5.63</v>
      </c>
      <c r="E28" s="23">
        <v>1</v>
      </c>
      <c r="F28" s="24">
        <f t="shared" si="2"/>
        <v>5.63</v>
      </c>
      <c r="G28" s="24">
        <f>F28</f>
        <v>5.63</v>
      </c>
      <c r="H28" s="23" t="s">
        <v>190</v>
      </c>
    </row>
    <row r="29" spans="1:8" ht="12.75" x14ac:dyDescent="0.2">
      <c r="A29" s="14"/>
      <c r="G29" s="15"/>
    </row>
    <row r="30" spans="1:8" s="23" customFormat="1" ht="15" x14ac:dyDescent="0.25">
      <c r="A30" s="23" t="s">
        <v>12</v>
      </c>
      <c r="B30" s="23" t="s">
        <v>136</v>
      </c>
      <c r="C30" s="23" t="s">
        <v>137</v>
      </c>
      <c r="D30" s="23">
        <v>34.67</v>
      </c>
      <c r="E30" s="23">
        <v>1</v>
      </c>
      <c r="F30" s="24">
        <f>E30*D30</f>
        <v>34.67</v>
      </c>
      <c r="G30" s="24">
        <f>F30</f>
        <v>34.67</v>
      </c>
      <c r="H30" s="23" t="s">
        <v>135</v>
      </c>
    </row>
    <row r="31" spans="1:8" ht="12.75" x14ac:dyDescent="0.2">
      <c r="A31" s="14"/>
      <c r="B31" s="17"/>
      <c r="C31" s="20"/>
      <c r="D31" s="15"/>
      <c r="E31" s="17"/>
      <c r="F31" s="15"/>
      <c r="G31" s="15"/>
    </row>
    <row r="32" spans="1:8" ht="12.75" x14ac:dyDescent="0.2">
      <c r="A32" s="14"/>
      <c r="B32" s="18" t="s">
        <v>81</v>
      </c>
      <c r="C32" s="20"/>
      <c r="D32" s="15"/>
      <c r="E32" s="17"/>
      <c r="F32" s="15"/>
      <c r="G32" s="15"/>
    </row>
    <row r="33" spans="1:8" ht="12.75" x14ac:dyDescent="0.2">
      <c r="A33" s="14"/>
      <c r="B33" s="21" t="s">
        <v>92</v>
      </c>
      <c r="C33" s="20" t="s">
        <v>43</v>
      </c>
      <c r="D33" s="15">
        <v>59.95</v>
      </c>
      <c r="E33" s="17">
        <v>1</v>
      </c>
      <c r="F33" s="15">
        <f>E33*D33</f>
        <v>59.95</v>
      </c>
      <c r="G33" s="15"/>
    </row>
    <row r="34" spans="1:8" ht="12.75" x14ac:dyDescent="0.2">
      <c r="A34" s="14"/>
      <c r="B34" s="17" t="s">
        <v>44</v>
      </c>
      <c r="C34" s="20" t="s">
        <v>45</v>
      </c>
      <c r="D34" s="15">
        <v>3</v>
      </c>
      <c r="E34" s="17">
        <v>1</v>
      </c>
      <c r="F34" s="15">
        <f>E34*D34</f>
        <v>3</v>
      </c>
    </row>
    <row r="35" spans="1:8" ht="12.75" x14ac:dyDescent="0.2">
      <c r="A35" s="14"/>
      <c r="B35" s="17" t="s">
        <v>82</v>
      </c>
      <c r="C35" s="20" t="s">
        <v>83</v>
      </c>
      <c r="D35" s="15">
        <v>8.9499999999999993</v>
      </c>
      <c r="E35" s="17">
        <v>1</v>
      </c>
      <c r="F35" s="15">
        <f>E35*D35</f>
        <v>8.9499999999999993</v>
      </c>
    </row>
    <row r="36" spans="1:8" ht="12.75" x14ac:dyDescent="0.2">
      <c r="A36" s="14"/>
      <c r="B36" s="17" t="s">
        <v>139</v>
      </c>
      <c r="C36" s="20" t="s">
        <v>138</v>
      </c>
      <c r="D36" s="15">
        <v>1.75</v>
      </c>
      <c r="E36" s="17">
        <v>2</v>
      </c>
      <c r="F36" s="15">
        <f t="shared" ref="F36:G38" si="3">E36*D36</f>
        <v>3.5</v>
      </c>
    </row>
    <row r="37" spans="1:8" s="23" customFormat="1" ht="15" x14ac:dyDescent="0.25">
      <c r="A37" s="23" t="s">
        <v>12</v>
      </c>
      <c r="B37" s="23" t="s">
        <v>185</v>
      </c>
      <c r="C37" s="23" t="s">
        <v>191</v>
      </c>
      <c r="D37" s="24">
        <v>20.43</v>
      </c>
      <c r="E37" s="23">
        <v>2</v>
      </c>
      <c r="F37" s="24">
        <f t="shared" si="3"/>
        <v>40.86</v>
      </c>
      <c r="G37" s="24">
        <f t="shared" si="3"/>
        <v>81.72</v>
      </c>
      <c r="H37" s="23" t="s">
        <v>192</v>
      </c>
    </row>
    <row r="38" spans="1:8" s="23" customFormat="1" ht="15" x14ac:dyDescent="0.25">
      <c r="A38" s="23" t="s">
        <v>12</v>
      </c>
      <c r="B38" s="23" t="s">
        <v>169</v>
      </c>
      <c r="C38" s="23" t="s">
        <v>193</v>
      </c>
      <c r="D38" s="24">
        <v>0.7</v>
      </c>
      <c r="E38" s="23">
        <v>2</v>
      </c>
      <c r="F38" s="24">
        <f t="shared" si="3"/>
        <v>1.4</v>
      </c>
      <c r="G38" s="24">
        <f t="shared" si="3"/>
        <v>2.8</v>
      </c>
      <c r="H38" s="23" t="s">
        <v>194</v>
      </c>
    </row>
    <row r="39" spans="1:8" ht="12.75" x14ac:dyDescent="0.2">
      <c r="A39" s="14"/>
      <c r="B39" s="17"/>
      <c r="C39" s="20"/>
      <c r="D39" s="15"/>
      <c r="E39" s="17"/>
      <c r="F39" s="15"/>
    </row>
    <row r="40" spans="1:8" ht="12.75" x14ac:dyDescent="0.2">
      <c r="A40" s="14"/>
      <c r="B40" s="22" t="s">
        <v>79</v>
      </c>
    </row>
    <row r="41" spans="1:8" ht="12.75" x14ac:dyDescent="0.2">
      <c r="A41" s="14"/>
      <c r="B41" s="17" t="s">
        <v>75</v>
      </c>
      <c r="C41" s="20" t="s">
        <v>76</v>
      </c>
      <c r="D41" s="15">
        <v>21.95</v>
      </c>
      <c r="E41" s="17">
        <v>1</v>
      </c>
      <c r="F41" s="15">
        <f>E41*D41</f>
        <v>21.95</v>
      </c>
      <c r="G41" s="15"/>
    </row>
    <row r="42" spans="1:8" ht="12.75" x14ac:dyDescent="0.2">
      <c r="A42" s="14"/>
      <c r="B42" s="17" t="s">
        <v>71</v>
      </c>
      <c r="C42" s="20" t="s">
        <v>72</v>
      </c>
      <c r="D42" s="15">
        <v>22.5</v>
      </c>
      <c r="E42" s="17">
        <v>1</v>
      </c>
      <c r="F42" s="15">
        <f>E42*D42</f>
        <v>22.5</v>
      </c>
      <c r="G42" s="15"/>
    </row>
    <row r="43" spans="1:8" ht="12.75" x14ac:dyDescent="0.2">
      <c r="A43" s="14"/>
      <c r="B43" s="17" t="s">
        <v>73</v>
      </c>
      <c r="C43" s="20" t="s">
        <v>74</v>
      </c>
      <c r="D43" s="15">
        <v>2.95</v>
      </c>
      <c r="E43" s="17">
        <v>1</v>
      </c>
      <c r="F43" s="15">
        <f>E43*D43</f>
        <v>2.95</v>
      </c>
      <c r="G43" s="15"/>
    </row>
    <row r="44" spans="1:8" s="23" customFormat="1" ht="15" x14ac:dyDescent="0.25">
      <c r="A44" s="23" t="s">
        <v>12</v>
      </c>
      <c r="B44" s="23" t="s">
        <v>128</v>
      </c>
      <c r="C44" s="23" t="s">
        <v>125</v>
      </c>
      <c r="D44" s="24">
        <v>83.62</v>
      </c>
      <c r="E44" s="23">
        <v>1</v>
      </c>
      <c r="F44" s="24">
        <f>E44*D44</f>
        <v>83.62</v>
      </c>
      <c r="G44" s="24">
        <f>F44</f>
        <v>83.62</v>
      </c>
      <c r="H44" s="23" t="s">
        <v>129</v>
      </c>
    </row>
    <row r="45" spans="1:8" ht="12.75" x14ac:dyDescent="0.2">
      <c r="A45" s="14"/>
      <c r="B45" s="17" t="s">
        <v>126</v>
      </c>
      <c r="C45" t="s">
        <v>127</v>
      </c>
      <c r="D45" s="15">
        <v>139.94999999999999</v>
      </c>
      <c r="E45" s="17">
        <v>1</v>
      </c>
      <c r="F45" s="15">
        <f>E45*D45</f>
        <v>139.94999999999999</v>
      </c>
    </row>
    <row r="46" spans="1:8" ht="12.75" x14ac:dyDescent="0.2">
      <c r="A46" s="14"/>
      <c r="B46" s="17"/>
    </row>
    <row r="47" spans="1:8" ht="12.75" x14ac:dyDescent="0.2">
      <c r="A47" s="14"/>
      <c r="B47" s="18" t="s">
        <v>80</v>
      </c>
      <c r="C47" s="20"/>
      <c r="D47" s="15"/>
      <c r="E47" s="17"/>
      <c r="F47" s="15"/>
      <c r="G47" s="15"/>
    </row>
    <row r="48" spans="1:8" ht="12.75" x14ac:dyDescent="0.2">
      <c r="A48" s="14"/>
      <c r="B48" s="17" t="s">
        <v>77</v>
      </c>
      <c r="C48" s="20" t="s">
        <v>78</v>
      </c>
      <c r="D48" s="15">
        <v>9.9499999999999993</v>
      </c>
      <c r="E48" s="17">
        <v>1</v>
      </c>
      <c r="F48" s="15">
        <f t="shared" ref="F48:G51" si="4">E48*D48</f>
        <v>9.9499999999999993</v>
      </c>
      <c r="H48" t="s">
        <v>134</v>
      </c>
    </row>
    <row r="49" spans="1:28" s="23" customFormat="1" ht="15" x14ac:dyDescent="0.25">
      <c r="A49" s="23" t="s">
        <v>12</v>
      </c>
      <c r="B49" s="23" t="s">
        <v>201</v>
      </c>
      <c r="C49" s="23" t="s">
        <v>202</v>
      </c>
      <c r="D49" s="24">
        <v>123.31</v>
      </c>
      <c r="E49" s="23">
        <v>1</v>
      </c>
      <c r="F49" s="24">
        <f t="shared" si="4"/>
        <v>123.31</v>
      </c>
      <c r="G49" s="24">
        <f t="shared" si="4"/>
        <v>123.31</v>
      </c>
      <c r="H49" s="23" t="s">
        <v>203</v>
      </c>
    </row>
    <row r="50" spans="1:28" s="23" customFormat="1" ht="15" x14ac:dyDescent="0.25">
      <c r="B50" s="23" t="s">
        <v>347</v>
      </c>
      <c r="C50" s="23" t="s">
        <v>349</v>
      </c>
      <c r="D50" s="24">
        <v>95</v>
      </c>
      <c r="E50" s="23">
        <v>1</v>
      </c>
      <c r="F50" s="24">
        <f t="shared" si="4"/>
        <v>95</v>
      </c>
      <c r="G50" s="24"/>
      <c r="H50" s="23" t="s">
        <v>348</v>
      </c>
    </row>
    <row r="51" spans="1:28" s="23" customFormat="1" ht="15" x14ac:dyDescent="0.25">
      <c r="A51" s="23" t="s">
        <v>12</v>
      </c>
      <c r="B51" s="23" t="s">
        <v>204</v>
      </c>
      <c r="D51" s="24">
        <v>84.99</v>
      </c>
      <c r="E51" s="23">
        <v>1</v>
      </c>
      <c r="F51" s="24">
        <f t="shared" si="4"/>
        <v>84.99</v>
      </c>
      <c r="G51" s="24">
        <f t="shared" si="4"/>
        <v>84.99</v>
      </c>
      <c r="H51" s="23" t="s">
        <v>205</v>
      </c>
    </row>
    <row r="52" spans="1:28" ht="12.75" x14ac:dyDescent="0.2">
      <c r="A52" s="14"/>
      <c r="B52" s="17" t="s">
        <v>132</v>
      </c>
      <c r="C52" s="20" t="s">
        <v>130</v>
      </c>
      <c r="D52" s="15">
        <v>13.87</v>
      </c>
      <c r="E52" s="17">
        <v>1</v>
      </c>
      <c r="F52" s="15">
        <f>E52*D52</f>
        <v>13.87</v>
      </c>
      <c r="G52" s="15">
        <f>F52</f>
        <v>13.87</v>
      </c>
      <c r="H52" t="s">
        <v>133</v>
      </c>
    </row>
    <row r="53" spans="1:28" s="23" customFormat="1" ht="15" x14ac:dyDescent="0.25">
      <c r="A53" s="23" t="s">
        <v>12</v>
      </c>
      <c r="B53" s="23" t="s">
        <v>159</v>
      </c>
      <c r="C53" s="23" t="s">
        <v>160</v>
      </c>
      <c r="D53" s="24">
        <v>576</v>
      </c>
      <c r="E53" s="23">
        <v>1</v>
      </c>
      <c r="F53" s="24">
        <f>E53*D53</f>
        <v>576</v>
      </c>
      <c r="G53" s="24">
        <f>F53</f>
        <v>576</v>
      </c>
      <c r="H53" s="23" t="s">
        <v>161</v>
      </c>
    </row>
    <row r="54" spans="1:28" s="23" customFormat="1" ht="15" x14ac:dyDescent="0.25">
      <c r="A54" s="23" t="s">
        <v>12</v>
      </c>
      <c r="B54" s="23" t="s">
        <v>195</v>
      </c>
      <c r="C54" s="23" t="s">
        <v>196</v>
      </c>
      <c r="D54" s="24">
        <v>0</v>
      </c>
      <c r="E54" s="23">
        <v>0</v>
      </c>
      <c r="F54" s="24">
        <v>0</v>
      </c>
      <c r="G54" s="24">
        <v>0</v>
      </c>
      <c r="H54" s="24"/>
    </row>
    <row r="55" spans="1:28" s="23" customFormat="1" ht="15" x14ac:dyDescent="0.25">
      <c r="A55" s="23" t="s">
        <v>12</v>
      </c>
      <c r="B55" s="23" t="s">
        <v>157</v>
      </c>
      <c r="C55" s="23" t="s">
        <v>158</v>
      </c>
      <c r="D55" s="24">
        <v>11.59</v>
      </c>
      <c r="E55" s="23">
        <v>1</v>
      </c>
      <c r="F55" s="24">
        <f>E55*D55</f>
        <v>11.59</v>
      </c>
      <c r="G55" s="24">
        <f>F55</f>
        <v>11.59</v>
      </c>
      <c r="H55" s="24" t="s">
        <v>156</v>
      </c>
    </row>
    <row r="56" spans="1:28" ht="12.75" x14ac:dyDescent="0.2">
      <c r="A56" s="8"/>
      <c r="B56" s="17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x14ac:dyDescent="0.2">
      <c r="A57" s="4"/>
      <c r="C57" s="4"/>
      <c r="D57" s="5"/>
    </row>
    <row r="58" spans="1:28" ht="12.75" x14ac:dyDescent="0.2">
      <c r="A58" s="6" t="s">
        <v>13</v>
      </c>
      <c r="B58" s="6"/>
      <c r="C58" s="6"/>
      <c r="D58" s="7"/>
      <c r="E58" s="6"/>
      <c r="F58" s="7">
        <f>SUM(F59:F110)</f>
        <v>2428.1899999999996</v>
      </c>
      <c r="G58" s="7">
        <f>SUM(G59:G110)</f>
        <v>60.7</v>
      </c>
      <c r="H58" s="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x14ac:dyDescent="0.2">
      <c r="A59" s="14"/>
      <c r="B59" s="17"/>
      <c r="C59" s="4"/>
      <c r="D59" s="5"/>
      <c r="E59" s="4"/>
    </row>
    <row r="60" spans="1:28" ht="12.75" x14ac:dyDescent="0.2">
      <c r="A60" s="14"/>
      <c r="B60" s="22" t="s">
        <v>99</v>
      </c>
      <c r="C60" s="4"/>
      <c r="D60" s="5"/>
      <c r="E60" s="4"/>
    </row>
    <row r="61" spans="1:28" ht="12.75" x14ac:dyDescent="0.2">
      <c r="A61" s="14"/>
      <c r="B61" s="17" t="s">
        <v>100</v>
      </c>
      <c r="C61" s="20" t="s">
        <v>101</v>
      </c>
      <c r="D61" s="15">
        <v>44.95</v>
      </c>
      <c r="E61" s="17">
        <v>1</v>
      </c>
      <c r="F61" s="15">
        <f>E61*D61</f>
        <v>44.95</v>
      </c>
      <c r="G61" s="15"/>
    </row>
    <row r="62" spans="1:28" ht="12.75" x14ac:dyDescent="0.2">
      <c r="A62" s="14"/>
      <c r="B62" s="17" t="s">
        <v>102</v>
      </c>
      <c r="C62" s="20" t="s">
        <v>101</v>
      </c>
      <c r="D62" s="15">
        <v>44.95</v>
      </c>
      <c r="E62" s="17">
        <v>1</v>
      </c>
      <c r="F62" s="15">
        <f>E62*D62</f>
        <v>44.95</v>
      </c>
      <c r="G62" s="15"/>
    </row>
    <row r="63" spans="1:28" ht="12.75" x14ac:dyDescent="0.2">
      <c r="A63" s="14"/>
      <c r="B63" s="17" t="s">
        <v>103</v>
      </c>
      <c r="C63" s="20" t="s">
        <v>104</v>
      </c>
      <c r="D63" s="15">
        <v>4.95</v>
      </c>
      <c r="E63" s="17">
        <v>2</v>
      </c>
      <c r="F63" s="15">
        <f>E63*D63</f>
        <v>9.9</v>
      </c>
      <c r="G63" s="15"/>
    </row>
    <row r="64" spans="1:28" ht="12.75" x14ac:dyDescent="0.2">
      <c r="A64" s="14"/>
      <c r="B64" s="17" t="s">
        <v>105</v>
      </c>
      <c r="C64" s="20" t="s">
        <v>106</v>
      </c>
      <c r="D64" s="15">
        <v>2.25</v>
      </c>
      <c r="E64" s="17">
        <v>2</v>
      </c>
      <c r="F64" s="15">
        <f>E64*D64</f>
        <v>4.5</v>
      </c>
      <c r="G64" s="15"/>
    </row>
    <row r="65" spans="1:8" ht="12.75" x14ac:dyDescent="0.2">
      <c r="A65" s="14"/>
      <c r="B65" s="18"/>
      <c r="C65" s="4"/>
      <c r="D65" s="5"/>
      <c r="E65" s="4"/>
    </row>
    <row r="66" spans="1:8" ht="12.75" x14ac:dyDescent="0.2">
      <c r="A66" s="14"/>
      <c r="B66" s="18" t="s">
        <v>107</v>
      </c>
      <c r="C66" s="4"/>
      <c r="D66" s="5"/>
      <c r="E66" s="4"/>
    </row>
    <row r="67" spans="1:8" ht="12.75" x14ac:dyDescent="0.2">
      <c r="A67" s="14"/>
      <c r="B67" s="17" t="s">
        <v>108</v>
      </c>
      <c r="C67" s="20" t="s">
        <v>109</v>
      </c>
      <c r="D67" s="15">
        <v>44.95</v>
      </c>
      <c r="E67" s="17">
        <v>1</v>
      </c>
      <c r="F67" s="15">
        <f>E67*D67</f>
        <v>44.95</v>
      </c>
      <c r="G67" s="15"/>
    </row>
    <row r="68" spans="1:8" ht="12.75" x14ac:dyDescent="0.2">
      <c r="A68" s="14"/>
      <c r="B68" s="17" t="s">
        <v>110</v>
      </c>
      <c r="C68" s="20" t="s">
        <v>109</v>
      </c>
      <c r="D68" s="15">
        <v>44.95</v>
      </c>
      <c r="E68" s="17">
        <v>1</v>
      </c>
      <c r="F68" s="15">
        <f>E68*D68</f>
        <v>44.95</v>
      </c>
      <c r="G68" s="15"/>
    </row>
    <row r="69" spans="1:8" ht="12.75" x14ac:dyDescent="0.2">
      <c r="A69" s="14"/>
      <c r="B69" s="17" t="s">
        <v>111</v>
      </c>
      <c r="C69" s="20" t="s">
        <v>112</v>
      </c>
      <c r="D69" s="15">
        <v>0.49</v>
      </c>
      <c r="E69" s="17">
        <v>2</v>
      </c>
      <c r="F69" s="15">
        <f>E69*D69</f>
        <v>0.98</v>
      </c>
      <c r="G69" s="15"/>
    </row>
    <row r="70" spans="1:8" ht="12.75" x14ac:dyDescent="0.2">
      <c r="A70" s="14"/>
      <c r="B70" s="17" t="s">
        <v>113</v>
      </c>
      <c r="C70" s="20" t="s">
        <v>114</v>
      </c>
      <c r="D70" s="15">
        <v>0.7</v>
      </c>
      <c r="E70" s="17">
        <v>4</v>
      </c>
      <c r="F70" s="15">
        <f>E70*D70</f>
        <v>2.8</v>
      </c>
      <c r="G70" s="15"/>
    </row>
    <row r="71" spans="1:8" ht="12.75" x14ac:dyDescent="0.2">
      <c r="A71" s="14"/>
      <c r="B71" s="17" t="s">
        <v>115</v>
      </c>
      <c r="C71" s="20" t="s">
        <v>116</v>
      </c>
      <c r="D71" s="15">
        <v>0.7</v>
      </c>
      <c r="E71" s="17">
        <v>2</v>
      </c>
      <c r="F71" s="15">
        <f>E71*D71</f>
        <v>1.4</v>
      </c>
      <c r="G71" s="15"/>
    </row>
    <row r="72" spans="1:8" ht="12.75" x14ac:dyDescent="0.2">
      <c r="A72" s="14"/>
      <c r="B72" s="17"/>
      <c r="C72" s="20"/>
      <c r="D72" s="15"/>
      <c r="E72" s="17"/>
      <c r="F72" s="15"/>
      <c r="G72" s="15"/>
    </row>
    <row r="73" spans="1:8" ht="12.75" x14ac:dyDescent="0.2">
      <c r="A73" s="14"/>
      <c r="B73" s="18" t="s">
        <v>119</v>
      </c>
      <c r="C73" s="20"/>
      <c r="D73" s="15"/>
      <c r="E73" s="17"/>
      <c r="F73" s="15"/>
      <c r="G73" s="15"/>
    </row>
    <row r="74" spans="1:8" s="23" customFormat="1" ht="15" x14ac:dyDescent="0.25">
      <c r="A74" s="23" t="s">
        <v>12</v>
      </c>
      <c r="B74" s="23" t="s">
        <v>122</v>
      </c>
      <c r="C74" s="23" t="s">
        <v>124</v>
      </c>
      <c r="D74" s="24">
        <v>60.7</v>
      </c>
      <c r="E74" s="23">
        <v>1</v>
      </c>
      <c r="F74" s="24">
        <f>E74*D74</f>
        <v>60.7</v>
      </c>
      <c r="G74" s="24">
        <f>F74</f>
        <v>60.7</v>
      </c>
      <c r="H74" s="23" t="s">
        <v>123</v>
      </c>
    </row>
    <row r="76" spans="1:8" ht="12.75" x14ac:dyDescent="0.2">
      <c r="A76" s="14"/>
      <c r="B76" s="22" t="s">
        <v>48</v>
      </c>
    </row>
    <row r="77" spans="1:8" ht="12.75" x14ac:dyDescent="0.2">
      <c r="A77" s="14"/>
      <c r="B77" s="17" t="s">
        <v>41</v>
      </c>
      <c r="C77" s="20" t="s">
        <v>39</v>
      </c>
      <c r="D77" s="15">
        <v>109.95</v>
      </c>
      <c r="E77" s="17">
        <v>1</v>
      </c>
      <c r="F77" s="15">
        <f t="shared" ref="F77:F82" si="5">E77*D77</f>
        <v>109.95</v>
      </c>
      <c r="G77" s="15"/>
    </row>
    <row r="78" spans="1:8" ht="12.75" x14ac:dyDescent="0.2">
      <c r="A78" s="14"/>
      <c r="B78" s="17" t="s">
        <v>42</v>
      </c>
      <c r="C78" s="20" t="s">
        <v>40</v>
      </c>
      <c r="D78" s="15">
        <v>34.950000000000003</v>
      </c>
      <c r="E78" s="17">
        <v>1</v>
      </c>
      <c r="F78" s="15">
        <f t="shared" si="5"/>
        <v>34.950000000000003</v>
      </c>
      <c r="G78" s="15"/>
    </row>
    <row r="79" spans="1:8" ht="12.75" x14ac:dyDescent="0.2">
      <c r="A79" s="14"/>
      <c r="B79" s="17" t="s">
        <v>46</v>
      </c>
      <c r="C79" s="20" t="s">
        <v>47</v>
      </c>
      <c r="D79" s="15">
        <v>59.95</v>
      </c>
      <c r="E79" s="17">
        <v>1</v>
      </c>
      <c r="F79" s="15">
        <f t="shared" si="5"/>
        <v>59.95</v>
      </c>
      <c r="G79" s="15"/>
    </row>
    <row r="80" spans="1:8" ht="12.75" x14ac:dyDescent="0.2">
      <c r="A80" s="8"/>
      <c r="B80" s="16" t="s">
        <v>141</v>
      </c>
      <c r="C80" s="13" t="s">
        <v>140</v>
      </c>
      <c r="D80" s="5">
        <v>31.45</v>
      </c>
      <c r="E80" s="4">
        <v>1</v>
      </c>
      <c r="F80" s="5">
        <f t="shared" si="5"/>
        <v>31.45</v>
      </c>
      <c r="G80" s="5"/>
    </row>
    <row r="81" spans="1:28" ht="12.75" x14ac:dyDescent="0.2">
      <c r="A81" s="8"/>
      <c r="B81" s="16" t="s">
        <v>142</v>
      </c>
      <c r="C81" s="13" t="s">
        <v>143</v>
      </c>
      <c r="D81" s="5">
        <v>2.95</v>
      </c>
      <c r="E81" s="4">
        <v>1</v>
      </c>
      <c r="F81" s="5">
        <f t="shared" si="5"/>
        <v>2.95</v>
      </c>
      <c r="G81" s="5"/>
    </row>
    <row r="82" spans="1:28" s="23" customFormat="1" ht="15" x14ac:dyDescent="0.25">
      <c r="A82" s="23" t="s">
        <v>12</v>
      </c>
      <c r="B82" s="28" t="s">
        <v>182</v>
      </c>
      <c r="C82" s="23" t="s">
        <v>186</v>
      </c>
      <c r="D82" s="24">
        <v>0.41</v>
      </c>
      <c r="E82" s="23">
        <v>4</v>
      </c>
      <c r="F82" s="24">
        <f t="shared" si="5"/>
        <v>1.64</v>
      </c>
      <c r="G82" s="24"/>
      <c r="H82" s="23" t="s">
        <v>183</v>
      </c>
    </row>
    <row r="83" spans="1:28" ht="12.75" x14ac:dyDescent="0.2">
      <c r="A83" s="8"/>
      <c r="B83" s="16"/>
      <c r="C83" s="13"/>
      <c r="D83" s="5"/>
      <c r="E83" s="4"/>
      <c r="F83" s="5"/>
      <c r="G83" s="5"/>
    </row>
    <row r="84" spans="1:28" ht="12.75" x14ac:dyDescent="0.2">
      <c r="A84" s="8"/>
      <c r="B84" s="25" t="s">
        <v>152</v>
      </c>
      <c r="C84" s="13"/>
      <c r="D84" s="5"/>
      <c r="E84" s="4"/>
      <c r="F84" s="5"/>
      <c r="G84" s="5"/>
    </row>
    <row r="85" spans="1:28" ht="12.75" x14ac:dyDescent="0.2">
      <c r="A85" s="8"/>
      <c r="B85" s="16"/>
      <c r="C85" s="13"/>
      <c r="D85" s="5"/>
      <c r="E85" s="4"/>
      <c r="F85" s="5"/>
      <c r="G85" s="5"/>
    </row>
    <row r="86" spans="1:28" ht="12.75" x14ac:dyDescent="0.2">
      <c r="A86" s="8"/>
      <c r="B86" s="18" t="s">
        <v>94</v>
      </c>
      <c r="C86" s="13"/>
      <c r="D86" s="5"/>
      <c r="E86" s="4"/>
      <c r="F86" s="5"/>
      <c r="G86" s="5"/>
    </row>
    <row r="87" spans="1:28" ht="12.75" x14ac:dyDescent="0.2">
      <c r="A87" s="14"/>
      <c r="B87" s="17" t="s">
        <v>93</v>
      </c>
      <c r="C87" s="20"/>
      <c r="D87" s="15"/>
      <c r="E87" s="17"/>
      <c r="F87" s="15"/>
      <c r="G87" s="15"/>
    </row>
    <row r="88" spans="1:28" ht="12.75" x14ac:dyDescent="0.2">
      <c r="A88" s="14"/>
      <c r="B88" s="17"/>
      <c r="C88" s="20"/>
      <c r="D88" s="15"/>
      <c r="E88" s="17"/>
      <c r="F88" s="15"/>
      <c r="G88" s="15"/>
    </row>
    <row r="89" spans="1:28" ht="12.75" x14ac:dyDescent="0.2">
      <c r="A89" s="14"/>
      <c r="B89" s="17"/>
      <c r="C89" s="20"/>
      <c r="D89" s="15"/>
      <c r="E89" s="17"/>
      <c r="F89" s="15"/>
      <c r="G89" s="15"/>
    </row>
    <row r="90" spans="1:28" ht="12.75" x14ac:dyDescent="0.2">
      <c r="A90" s="14"/>
      <c r="B90" s="18" t="s">
        <v>144</v>
      </c>
      <c r="C90" s="20"/>
      <c r="D90" s="15"/>
      <c r="E90" s="17"/>
      <c r="F90" s="15"/>
      <c r="G90" s="15"/>
    </row>
    <row r="91" spans="1:28" ht="12.75" x14ac:dyDescent="0.2">
      <c r="A91" s="14"/>
      <c r="B91" s="17" t="s">
        <v>146</v>
      </c>
      <c r="C91" s="20" t="s">
        <v>145</v>
      </c>
      <c r="D91" s="15">
        <v>3.95</v>
      </c>
      <c r="E91" s="17">
        <v>10</v>
      </c>
      <c r="F91" s="5">
        <f>E91*D91</f>
        <v>39.5</v>
      </c>
      <c r="G91" s="15"/>
      <c r="H91" s="19" t="s">
        <v>147</v>
      </c>
    </row>
    <row r="92" spans="1:28" ht="12.75" x14ac:dyDescent="0.2">
      <c r="A92" s="14"/>
      <c r="B92" s="17"/>
      <c r="C92" s="20"/>
      <c r="D92" s="15"/>
      <c r="E92" s="17"/>
      <c r="F92" s="15"/>
      <c r="G92" s="15"/>
    </row>
    <row r="93" spans="1:28" ht="12.75" x14ac:dyDescent="0.2">
      <c r="A93" s="14"/>
      <c r="B93" s="17"/>
      <c r="C93" s="20"/>
      <c r="D93" s="15"/>
      <c r="E93" s="17"/>
      <c r="F93" s="15"/>
      <c r="G93" s="15"/>
    </row>
    <row r="94" spans="1:28" ht="12.75" x14ac:dyDescent="0.2">
      <c r="A94" s="14"/>
      <c r="B94" s="17"/>
      <c r="C94" s="20"/>
      <c r="D94" s="15"/>
      <c r="E94" s="17"/>
      <c r="F94" s="15"/>
      <c r="G94" s="15"/>
    </row>
    <row r="95" spans="1:28" ht="12.75" x14ac:dyDescent="0.2">
      <c r="A95" s="14"/>
      <c r="B95" s="17"/>
      <c r="C95" s="20"/>
      <c r="D95" s="15"/>
      <c r="E95" s="17"/>
      <c r="F95" s="15"/>
      <c r="G95" s="15"/>
    </row>
    <row r="96" spans="1:28" ht="12.75" x14ac:dyDescent="0.2">
      <c r="A96" s="8"/>
      <c r="B96" s="12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x14ac:dyDescent="0.2">
      <c r="A97" s="8"/>
      <c r="B97" s="16"/>
      <c r="C97" s="13"/>
      <c r="D97" s="5"/>
      <c r="E97" s="4"/>
      <c r="F97" s="5"/>
      <c r="G97" s="5"/>
    </row>
    <row r="98" spans="1:28" ht="12.75" x14ac:dyDescent="0.2">
      <c r="A98" s="8"/>
      <c r="B98" s="4"/>
      <c r="C98" s="4"/>
      <c r="D98" s="5"/>
      <c r="E98" s="4"/>
    </row>
    <row r="99" spans="1:28" ht="12.75" x14ac:dyDescent="0.2">
      <c r="A99" s="6" t="s">
        <v>14</v>
      </c>
      <c r="B99" s="6"/>
      <c r="C99" s="6"/>
      <c r="D99" s="7"/>
      <c r="E99" s="6"/>
      <c r="F99" s="7">
        <f>SUM(F100:F110)</f>
        <v>943.8599999999999</v>
      </c>
      <c r="G99" s="7">
        <f>SUM(G100:G110)</f>
        <v>0</v>
      </c>
      <c r="H99" s="6"/>
    </row>
    <row r="100" spans="1:28" ht="12.75" x14ac:dyDescent="0.2">
      <c r="B100" s="4"/>
      <c r="C100" s="4"/>
      <c r="D100" s="5"/>
    </row>
    <row r="101" spans="1:28" ht="12.75" x14ac:dyDescent="0.2">
      <c r="A101" s="14"/>
      <c r="B101" s="18" t="s">
        <v>35</v>
      </c>
      <c r="C101" s="4"/>
      <c r="D101" s="5"/>
      <c r="E101" s="4"/>
    </row>
    <row r="102" spans="1:28" ht="12.75" x14ac:dyDescent="0.2">
      <c r="A102" s="14" t="s">
        <v>206</v>
      </c>
      <c r="B102" s="17" t="s">
        <v>37</v>
      </c>
      <c r="C102" s="4" t="s">
        <v>36</v>
      </c>
      <c r="D102" s="5">
        <v>299.95</v>
      </c>
      <c r="E102" s="4">
        <v>3</v>
      </c>
      <c r="F102" s="5">
        <f>E102*D102</f>
        <v>899.84999999999991</v>
      </c>
      <c r="G102" s="5"/>
    </row>
    <row r="103" spans="1:28" ht="12.75" x14ac:dyDescent="0.2">
      <c r="A103" s="14"/>
      <c r="B103" s="17"/>
      <c r="C103" s="4"/>
      <c r="D103" s="5"/>
      <c r="E103" s="4"/>
      <c r="F103" s="5"/>
      <c r="G103" s="5"/>
    </row>
    <row r="104" spans="1:28" ht="12.75" x14ac:dyDescent="0.2">
      <c r="A104" s="14"/>
      <c r="B104" s="18" t="s">
        <v>162</v>
      </c>
      <c r="C104" s="4"/>
      <c r="D104" s="5"/>
      <c r="E104" s="4"/>
      <c r="F104" s="5"/>
      <c r="G104" s="5"/>
    </row>
    <row r="105" spans="1:28" s="23" customFormat="1" ht="15" x14ac:dyDescent="0.25">
      <c r="A105" s="23" t="s">
        <v>12</v>
      </c>
      <c r="B105" s="23" t="s">
        <v>163</v>
      </c>
      <c r="C105" s="23" t="s">
        <v>165</v>
      </c>
      <c r="D105" s="24">
        <v>31.64</v>
      </c>
      <c r="E105" s="23">
        <v>1</v>
      </c>
      <c r="F105" s="24">
        <f>E105*D105</f>
        <v>31.64</v>
      </c>
      <c r="G105" s="24"/>
      <c r="H105" s="23" t="s">
        <v>167</v>
      </c>
    </row>
    <row r="106" spans="1:28" s="23" customFormat="1" ht="15" x14ac:dyDescent="0.25">
      <c r="A106" s="23" t="s">
        <v>12</v>
      </c>
      <c r="B106" s="23" t="s">
        <v>164</v>
      </c>
      <c r="C106" s="23" t="s">
        <v>166</v>
      </c>
      <c r="D106" s="24">
        <v>6.1849999999999996</v>
      </c>
      <c r="E106" s="23">
        <v>2</v>
      </c>
      <c r="F106" s="24">
        <f>E106*D106</f>
        <v>12.37</v>
      </c>
      <c r="G106" s="24"/>
      <c r="H106" s="23" t="s">
        <v>168</v>
      </c>
    </row>
    <row r="107" spans="1:28" ht="12.75" x14ac:dyDescent="0.2">
      <c r="A107" s="14"/>
      <c r="B107" s="17"/>
      <c r="C107" s="4"/>
      <c r="D107" s="5"/>
      <c r="E107" s="4"/>
      <c r="F107" s="5"/>
      <c r="G107" s="5"/>
    </row>
    <row r="108" spans="1:28" ht="12.75" x14ac:dyDescent="0.2">
      <c r="B108" s="4"/>
      <c r="C108" s="4"/>
      <c r="D108" s="5"/>
    </row>
    <row r="109" spans="1:28" ht="12.75" x14ac:dyDescent="0.2">
      <c r="B109" s="4"/>
      <c r="C109" s="4"/>
      <c r="D109" s="5"/>
    </row>
    <row r="110" spans="1:28" ht="12.75" x14ac:dyDescent="0.2">
      <c r="B110" s="4"/>
      <c r="C110" s="4"/>
      <c r="D110" s="5"/>
    </row>
    <row r="111" spans="1:28" ht="12.75" x14ac:dyDescent="0.2">
      <c r="A111" s="6" t="s">
        <v>15</v>
      </c>
      <c r="B111" s="6"/>
      <c r="C111" s="6"/>
      <c r="D111" s="7"/>
      <c r="E111" s="6"/>
      <c r="F111" s="7">
        <f>SUM(F112:F125)</f>
        <v>1459.07</v>
      </c>
      <c r="G111" s="7">
        <f>SUM(G112:G118)</f>
        <v>259.07</v>
      </c>
      <c r="H111" s="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5.5" x14ac:dyDescent="0.2">
      <c r="A112" s="8"/>
      <c r="B112" s="12" t="s">
        <v>28</v>
      </c>
      <c r="C112" s="13" t="s">
        <v>25</v>
      </c>
      <c r="D112" s="5">
        <v>1200</v>
      </c>
      <c r="E112" s="4">
        <v>1</v>
      </c>
      <c r="F112" s="5">
        <f>E112*D112</f>
        <v>1200</v>
      </c>
      <c r="G112" s="5"/>
      <c r="H112" t="s">
        <v>32</v>
      </c>
    </row>
    <row r="113" spans="1:8" ht="12.75" x14ac:dyDescent="0.2">
      <c r="A113" s="8"/>
      <c r="B113" s="4" t="s">
        <v>23</v>
      </c>
      <c r="C113" s="9" t="s">
        <v>24</v>
      </c>
      <c r="D113" s="5">
        <v>0</v>
      </c>
      <c r="E113" s="4">
        <v>1</v>
      </c>
      <c r="F113" s="5">
        <f>E113*D113</f>
        <v>0</v>
      </c>
      <c r="G113" s="5"/>
      <c r="H113" t="s">
        <v>31</v>
      </c>
    </row>
    <row r="114" spans="1:8" ht="12.75" x14ac:dyDescent="0.2">
      <c r="A114" s="8"/>
      <c r="B114" s="4" t="s">
        <v>27</v>
      </c>
      <c r="C114" s="13" t="s">
        <v>26</v>
      </c>
      <c r="D114" s="5">
        <v>0</v>
      </c>
      <c r="E114" s="4">
        <v>6</v>
      </c>
      <c r="F114" s="5">
        <f>E114*D114</f>
        <v>0</v>
      </c>
      <c r="G114" s="5"/>
    </row>
    <row r="115" spans="1:8" ht="15.75" customHeight="1" x14ac:dyDescent="0.2">
      <c r="A115" s="8"/>
      <c r="B115" s="4" t="s">
        <v>29</v>
      </c>
      <c r="E115" s="4">
        <v>1</v>
      </c>
    </row>
    <row r="117" spans="1:8" s="23" customFormat="1" ht="15.75" customHeight="1" x14ac:dyDescent="0.25">
      <c r="A117" s="23" t="s">
        <v>12</v>
      </c>
      <c r="B117" s="23" t="s">
        <v>200</v>
      </c>
      <c r="C117" s="23" t="s">
        <v>199</v>
      </c>
      <c r="D117" s="24">
        <v>259.07</v>
      </c>
      <c r="E117" s="23">
        <v>1</v>
      </c>
      <c r="F117" s="24">
        <v>259.07</v>
      </c>
      <c r="G117" s="24">
        <v>259.07</v>
      </c>
    </row>
    <row r="118" spans="1:8" ht="12.75" x14ac:dyDescent="0.2">
      <c r="B118" s="4"/>
      <c r="C118" s="4"/>
      <c r="D118" s="5"/>
    </row>
    <row r="119" spans="1:8" ht="12.75" x14ac:dyDescent="0.2">
      <c r="A119" s="10" t="s">
        <v>16</v>
      </c>
      <c r="B119" s="10"/>
      <c r="C119" s="10"/>
      <c r="D119" s="11"/>
      <c r="E119" s="10"/>
      <c r="F119" s="7">
        <f>SUM(F120:F125)</f>
        <v>0</v>
      </c>
      <c r="G119" s="7">
        <f>SUM(G120:G125)</f>
        <v>0</v>
      </c>
      <c r="H119" s="10"/>
    </row>
    <row r="120" spans="1:8" ht="12.75" x14ac:dyDescent="0.2">
      <c r="B120" s="4" t="s">
        <v>17</v>
      </c>
      <c r="C120" s="4"/>
      <c r="D120" s="5" t="s">
        <v>18</v>
      </c>
    </row>
    <row r="121" spans="1:8" ht="12.75" x14ac:dyDescent="0.2">
      <c r="B121" s="4" t="s">
        <v>19</v>
      </c>
      <c r="C121" s="4"/>
      <c r="D121" s="5" t="s">
        <v>18</v>
      </c>
    </row>
    <row r="122" spans="1:8" ht="12.75" x14ac:dyDescent="0.2">
      <c r="B122" s="4" t="s">
        <v>20</v>
      </c>
      <c r="C122" s="4"/>
      <c r="D122" s="5" t="s">
        <v>18</v>
      </c>
    </row>
    <row r="123" spans="1:8" ht="12.75" x14ac:dyDescent="0.2">
      <c r="B123" s="4" t="s">
        <v>21</v>
      </c>
      <c r="C123" s="4"/>
      <c r="D123" s="5" t="s">
        <v>18</v>
      </c>
    </row>
    <row r="124" spans="1:8" ht="12.75" x14ac:dyDescent="0.2">
      <c r="B124" s="4" t="s">
        <v>22</v>
      </c>
      <c r="C124" s="4"/>
      <c r="D124" s="5" t="s">
        <v>18</v>
      </c>
    </row>
    <row r="125" spans="1:8" ht="12.75" x14ac:dyDescent="0.2">
      <c r="B125" s="4"/>
      <c r="C125" s="4"/>
      <c r="D125" s="5"/>
    </row>
    <row r="126" spans="1:8" ht="12.75" x14ac:dyDescent="0.2">
      <c r="A126" s="10" t="s">
        <v>30</v>
      </c>
      <c r="B126" s="10"/>
      <c r="C126" s="10"/>
      <c r="D126" s="11"/>
      <c r="E126" s="10"/>
      <c r="F126" s="7">
        <f>SUM(F127:F139)</f>
        <v>921.05999999999983</v>
      </c>
      <c r="G126" s="7">
        <f>SUM(G127:G139)</f>
        <v>921.05999999999983</v>
      </c>
      <c r="H126" s="10"/>
    </row>
    <row r="127" spans="1:8" s="23" customFormat="1" ht="15" x14ac:dyDescent="0.25">
      <c r="A127" s="23" t="s">
        <v>12</v>
      </c>
      <c r="B127" s="23" t="s">
        <v>33</v>
      </c>
      <c r="C127" s="23" t="s">
        <v>34</v>
      </c>
      <c r="D127" s="24">
        <v>121.42</v>
      </c>
      <c r="E127" s="23">
        <v>1</v>
      </c>
      <c r="F127" s="24">
        <f>E127*D127</f>
        <v>121.42</v>
      </c>
      <c r="G127" s="24">
        <f>F127</f>
        <v>121.42</v>
      </c>
      <c r="H127" s="23" t="s">
        <v>121</v>
      </c>
    </row>
    <row r="128" spans="1:8" s="23" customFormat="1" ht="15" x14ac:dyDescent="0.25">
      <c r="A128" s="23" t="s">
        <v>12</v>
      </c>
      <c r="B128" s="23" t="s">
        <v>117</v>
      </c>
      <c r="C128" s="23" t="s">
        <v>118</v>
      </c>
      <c r="D128" s="24">
        <v>34.36</v>
      </c>
      <c r="E128" s="23">
        <v>1</v>
      </c>
      <c r="F128" s="24">
        <f>E128*D128</f>
        <v>34.36</v>
      </c>
      <c r="G128" s="24">
        <f>F128</f>
        <v>34.36</v>
      </c>
      <c r="H128" s="23" t="s">
        <v>120</v>
      </c>
    </row>
    <row r="129" spans="1:28" ht="12.75" x14ac:dyDescent="0.2">
      <c r="B129" s="4"/>
      <c r="C129" s="4"/>
      <c r="D129" s="5"/>
    </row>
    <row r="130" spans="1:28" ht="12.75" x14ac:dyDescent="0.2">
      <c r="B130" s="4"/>
      <c r="C130" s="4"/>
      <c r="D130" s="5"/>
    </row>
    <row r="131" spans="1:28" ht="12.75" x14ac:dyDescent="0.2">
      <c r="A131" s="6" t="s">
        <v>180</v>
      </c>
      <c r="B131" s="6"/>
      <c r="C131" s="6"/>
      <c r="D131" s="7"/>
      <c r="E131" s="6"/>
      <c r="F131" s="7"/>
      <c r="G131" s="7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s="23" customFormat="1" ht="15" x14ac:dyDescent="0.25">
      <c r="A132" s="23" t="s">
        <v>12</v>
      </c>
      <c r="B132" s="23" t="s">
        <v>181</v>
      </c>
      <c r="C132" s="23" t="s">
        <v>187</v>
      </c>
      <c r="D132" s="24">
        <v>7.26</v>
      </c>
      <c r="E132" s="23">
        <v>1</v>
      </c>
      <c r="F132" s="24">
        <f>E132*D132</f>
        <v>7.26</v>
      </c>
      <c r="G132" s="24">
        <f>F132*E132</f>
        <v>7.26</v>
      </c>
      <c r="H132" s="24" t="s">
        <v>188</v>
      </c>
    </row>
    <row r="133" spans="1:28" ht="12.75" x14ac:dyDescent="0.2">
      <c r="B133" s="4"/>
      <c r="C133" s="4"/>
      <c r="D133" s="5"/>
    </row>
    <row r="134" spans="1:28" ht="12.75" x14ac:dyDescent="0.2">
      <c r="B134" s="4"/>
      <c r="C134" s="4"/>
      <c r="D134" s="5"/>
    </row>
    <row r="135" spans="1:28" ht="12.75" x14ac:dyDescent="0.2">
      <c r="B135" s="4"/>
      <c r="C135" s="4"/>
      <c r="D135" s="5"/>
    </row>
    <row r="136" spans="1:28" ht="12.75" x14ac:dyDescent="0.2">
      <c r="B136" s="4"/>
      <c r="C136" s="4"/>
      <c r="D136" s="5"/>
    </row>
    <row r="137" spans="1:28" ht="12.75" x14ac:dyDescent="0.2">
      <c r="A137" s="27" t="s">
        <v>170</v>
      </c>
      <c r="B137" s="6"/>
      <c r="C137" s="6"/>
      <c r="D137" s="7"/>
      <c r="E137" s="6"/>
      <c r="F137" s="7">
        <f>SUM(F138:F150)</f>
        <v>379.01</v>
      </c>
      <c r="G137" s="7">
        <f>SUM(G138:G143)</f>
        <v>379.01</v>
      </c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s="23" customFormat="1" ht="15" x14ac:dyDescent="0.25">
      <c r="A138" s="23" t="s">
        <v>12</v>
      </c>
      <c r="B138" s="28" t="s">
        <v>179</v>
      </c>
      <c r="C138" s="23" t="s">
        <v>178</v>
      </c>
      <c r="D138" s="24">
        <v>280.58999999999997</v>
      </c>
      <c r="E138" s="23">
        <v>1</v>
      </c>
      <c r="F138" s="24">
        <f>E138*D138</f>
        <v>280.58999999999997</v>
      </c>
      <c r="G138" s="24">
        <f>F138</f>
        <v>280.58999999999997</v>
      </c>
      <c r="H138" s="23" t="s">
        <v>197</v>
      </c>
    </row>
    <row r="139" spans="1:28" s="23" customFormat="1" ht="15" x14ac:dyDescent="0.25">
      <c r="A139" s="23" t="s">
        <v>12</v>
      </c>
      <c r="B139" s="23" t="s">
        <v>177</v>
      </c>
      <c r="C139" s="23" t="s">
        <v>178</v>
      </c>
      <c r="D139" s="24">
        <v>98.42</v>
      </c>
      <c r="E139" s="23">
        <v>1</v>
      </c>
      <c r="F139" s="24">
        <f>E139*D139</f>
        <v>98.42</v>
      </c>
      <c r="G139" s="24">
        <f>F139</f>
        <v>98.42</v>
      </c>
      <c r="H139" s="23" t="s">
        <v>198</v>
      </c>
    </row>
    <row r="140" spans="1:28" ht="12.75" x14ac:dyDescent="0.2">
      <c r="C140" s="4"/>
      <c r="D140" s="5"/>
    </row>
    <row r="141" spans="1:28" ht="12.75" x14ac:dyDescent="0.2">
      <c r="A141" s="22" t="s">
        <v>171</v>
      </c>
      <c r="B141" s="4"/>
      <c r="C141" s="4"/>
      <c r="D141" s="5"/>
    </row>
    <row r="142" spans="1:28" ht="12.75" x14ac:dyDescent="0.2">
      <c r="B142" s="4" t="s">
        <v>172</v>
      </c>
      <c r="C142" s="4"/>
      <c r="D142" s="5"/>
    </row>
    <row r="143" spans="1:28" ht="12.75" x14ac:dyDescent="0.2">
      <c r="B143" s="4"/>
      <c r="C143" s="4"/>
      <c r="D143" s="5"/>
    </row>
    <row r="144" spans="1:28" ht="12.75" x14ac:dyDescent="0.2">
      <c r="B144" s="4"/>
      <c r="C144" s="4"/>
      <c r="D144" s="5"/>
    </row>
    <row r="145" spans="1:5" ht="12.75" x14ac:dyDescent="0.2">
      <c r="B145" s="4"/>
      <c r="C145" s="4"/>
      <c r="D145" s="5"/>
    </row>
    <row r="146" spans="1:5" ht="12.75" x14ac:dyDescent="0.2">
      <c r="B146" s="4"/>
      <c r="C146" s="4"/>
      <c r="D146" s="5"/>
    </row>
    <row r="147" spans="1:5" ht="12.75" x14ac:dyDescent="0.2">
      <c r="A147" t="s">
        <v>173</v>
      </c>
      <c r="B147" s="4" t="s">
        <v>174</v>
      </c>
      <c r="C147" s="4"/>
      <c r="D147" s="5"/>
    </row>
    <row r="148" spans="1:5" ht="12.75" x14ac:dyDescent="0.2">
      <c r="B148" s="4" t="s">
        <v>175</v>
      </c>
      <c r="C148" s="4" t="s">
        <v>176</v>
      </c>
      <c r="D148" s="5"/>
    </row>
    <row r="149" spans="1:5" ht="12.75" x14ac:dyDescent="0.2">
      <c r="B149" s="4"/>
      <c r="C149" s="4"/>
      <c r="D149" s="5"/>
    </row>
    <row r="150" spans="1:5" ht="12.75" x14ac:dyDescent="0.2">
      <c r="B150" s="4"/>
      <c r="C150" s="4"/>
      <c r="D150" s="5"/>
    </row>
    <row r="151" spans="1:5" ht="12.75" x14ac:dyDescent="0.2">
      <c r="B151" s="4"/>
      <c r="C151" s="4"/>
      <c r="D151" s="5"/>
    </row>
    <row r="152" spans="1:5" ht="12.75" x14ac:dyDescent="0.2">
      <c r="B152" s="4"/>
      <c r="C152" s="4"/>
      <c r="D152" s="5"/>
    </row>
    <row r="153" spans="1:5" ht="12.75" x14ac:dyDescent="0.2">
      <c r="B153" s="4"/>
      <c r="C153" s="4"/>
      <c r="D153" s="5"/>
    </row>
    <row r="154" spans="1:5" ht="12.75" x14ac:dyDescent="0.2">
      <c r="A154" s="22" t="s">
        <v>288</v>
      </c>
      <c r="B154" s="4"/>
      <c r="C154" s="4"/>
      <c r="D154" s="5"/>
    </row>
    <row r="155" spans="1:5" ht="12.75" x14ac:dyDescent="0.2">
      <c r="B155" s="4"/>
      <c r="C155" s="4"/>
      <c r="D155" s="5"/>
    </row>
    <row r="156" spans="1:5" ht="12.75" x14ac:dyDescent="0.2">
      <c r="B156" s="17" t="s">
        <v>290</v>
      </c>
      <c r="C156" s="4" t="s">
        <v>289</v>
      </c>
      <c r="D156" s="5">
        <v>5.86</v>
      </c>
      <c r="E156">
        <v>1</v>
      </c>
    </row>
    <row r="157" spans="1:5" ht="12.75" x14ac:dyDescent="0.2">
      <c r="B157" s="17" t="s">
        <v>292</v>
      </c>
      <c r="C157" s="4" t="s">
        <v>291</v>
      </c>
      <c r="D157" s="5">
        <v>12.02</v>
      </c>
      <c r="E157">
        <v>1</v>
      </c>
    </row>
    <row r="158" spans="1:5" ht="12.75" x14ac:dyDescent="0.2">
      <c r="B158" s="4"/>
      <c r="C158" s="4"/>
      <c r="D158" s="5"/>
    </row>
    <row r="159" spans="1:5" ht="12.75" x14ac:dyDescent="0.2">
      <c r="B159" s="4"/>
      <c r="C159" s="4"/>
      <c r="D159" s="5"/>
    </row>
    <row r="160" spans="1:5" ht="12.75" x14ac:dyDescent="0.2">
      <c r="B160" s="4"/>
      <c r="C160" s="4"/>
      <c r="D160" s="5"/>
    </row>
    <row r="161" spans="1:8" ht="12.75" x14ac:dyDescent="0.2">
      <c r="B161" s="4"/>
      <c r="C161" s="4"/>
      <c r="D161" s="5"/>
    </row>
    <row r="162" spans="1:8" ht="12.75" x14ac:dyDescent="0.2">
      <c r="B162" s="4"/>
      <c r="C162" s="4"/>
      <c r="D162" s="5"/>
    </row>
    <row r="163" spans="1:8" ht="12.75" x14ac:dyDescent="0.2">
      <c r="B163" s="4"/>
      <c r="C163" s="4"/>
      <c r="D163" s="5"/>
    </row>
    <row r="164" spans="1:8" ht="12.75" x14ac:dyDescent="0.2">
      <c r="B164" s="4"/>
      <c r="C164" s="4"/>
      <c r="D164" s="5"/>
    </row>
    <row r="165" spans="1:8" ht="12.75" x14ac:dyDescent="0.2">
      <c r="A165" s="22" t="s">
        <v>354</v>
      </c>
      <c r="B165" s="4"/>
      <c r="C165" s="4"/>
      <c r="D165" s="5"/>
    </row>
    <row r="166" spans="1:8" ht="12.75" x14ac:dyDescent="0.2">
      <c r="B166" s="4"/>
      <c r="C166" s="4"/>
      <c r="D166" s="5"/>
    </row>
    <row r="167" spans="1:8" ht="12.75" x14ac:dyDescent="0.2">
      <c r="B167" s="19" t="s">
        <v>355</v>
      </c>
      <c r="C167" s="4" t="s">
        <v>356</v>
      </c>
      <c r="D167" s="5">
        <v>0.3</v>
      </c>
      <c r="E167">
        <v>20</v>
      </c>
    </row>
    <row r="168" spans="1:8" ht="12.75" x14ac:dyDescent="0.2">
      <c r="B168" s="4"/>
      <c r="C168" s="4"/>
      <c r="D168" s="5"/>
    </row>
    <row r="169" spans="1:8" ht="12.75" x14ac:dyDescent="0.2">
      <c r="B169" s="4"/>
      <c r="C169" s="4"/>
      <c r="D169" s="5"/>
    </row>
    <row r="170" spans="1:8" ht="12.75" x14ac:dyDescent="0.2">
      <c r="B170" s="4"/>
      <c r="C170" s="4"/>
      <c r="D170" s="5"/>
    </row>
    <row r="171" spans="1:8" ht="15" x14ac:dyDescent="0.25">
      <c r="B171" s="4" t="s">
        <v>362</v>
      </c>
      <c r="C171" s="4" t="s">
        <v>360</v>
      </c>
      <c r="D171" s="5">
        <v>7.5</v>
      </c>
      <c r="E171">
        <v>3</v>
      </c>
      <c r="F171" s="24">
        <f>E171*D171</f>
        <v>22.5</v>
      </c>
      <c r="G171" s="24"/>
      <c r="H171" s="19" t="s">
        <v>365</v>
      </c>
    </row>
    <row r="172" spans="1:8" ht="15" x14ac:dyDescent="0.25">
      <c r="B172" s="4" t="s">
        <v>359</v>
      </c>
      <c r="C172" s="4" t="s">
        <v>361</v>
      </c>
      <c r="D172" s="5">
        <v>2.65</v>
      </c>
      <c r="E172">
        <v>10</v>
      </c>
      <c r="F172" s="24">
        <f>E172*D172</f>
        <v>26.5</v>
      </c>
      <c r="G172" s="24"/>
      <c r="H172" s="19" t="s">
        <v>365</v>
      </c>
    </row>
    <row r="173" spans="1:8" ht="12.75" x14ac:dyDescent="0.2">
      <c r="B173" s="17"/>
      <c r="C173" s="4"/>
      <c r="D173" s="5"/>
    </row>
    <row r="174" spans="1:8" ht="12.75" x14ac:dyDescent="0.2">
      <c r="B174" s="19" t="s">
        <v>363</v>
      </c>
      <c r="C174" s="4" t="s">
        <v>364</v>
      </c>
      <c r="D174" s="5">
        <v>0.45</v>
      </c>
      <c r="E174">
        <v>4</v>
      </c>
      <c r="F174" s="36">
        <f>E174*D174</f>
        <v>1.8</v>
      </c>
      <c r="G174" s="36">
        <f>F174</f>
        <v>1.8</v>
      </c>
      <c r="H174" s="19" t="s">
        <v>365</v>
      </c>
    </row>
    <row r="175" spans="1:8" ht="12.75" x14ac:dyDescent="0.2">
      <c r="B175" s="4"/>
      <c r="C175" s="4"/>
      <c r="D175" s="5"/>
    </row>
    <row r="176" spans="1:8" ht="12.75" x14ac:dyDescent="0.2">
      <c r="B176" s="4"/>
      <c r="C176" s="4"/>
      <c r="D176" s="5"/>
    </row>
    <row r="177" spans="2:4" ht="12.75" x14ac:dyDescent="0.2">
      <c r="B177" s="4"/>
      <c r="C177" s="4"/>
      <c r="D177" s="5"/>
    </row>
    <row r="178" spans="2:4" ht="12.75" x14ac:dyDescent="0.2">
      <c r="B178" s="4"/>
      <c r="C178" s="4"/>
      <c r="D178" s="5"/>
    </row>
    <row r="179" spans="2:4" ht="12.75" x14ac:dyDescent="0.2">
      <c r="B179" s="4"/>
      <c r="C179" s="4"/>
      <c r="D179" s="5"/>
    </row>
    <row r="180" spans="2:4" ht="12.75" x14ac:dyDescent="0.2">
      <c r="B180" s="4"/>
      <c r="C180" s="4"/>
      <c r="D180" s="5"/>
    </row>
    <row r="181" spans="2:4" ht="12.75" x14ac:dyDescent="0.2">
      <c r="B181" s="4"/>
      <c r="C181" s="4"/>
      <c r="D181" s="5"/>
    </row>
    <row r="182" spans="2:4" ht="12.75" x14ac:dyDescent="0.2">
      <c r="B182" s="4"/>
      <c r="C182" s="4"/>
      <c r="D182" s="5"/>
    </row>
    <row r="183" spans="2:4" ht="12.75" x14ac:dyDescent="0.2">
      <c r="B183" s="4"/>
      <c r="C183" s="4"/>
      <c r="D183" s="5"/>
    </row>
    <row r="184" spans="2:4" ht="12.75" x14ac:dyDescent="0.2">
      <c r="B184" s="4"/>
      <c r="C184" s="4"/>
      <c r="D184" s="5"/>
    </row>
    <row r="185" spans="2:4" ht="12.75" x14ac:dyDescent="0.2">
      <c r="B185" s="4"/>
      <c r="C185" s="4"/>
      <c r="D185" s="5"/>
    </row>
    <row r="186" spans="2:4" ht="12.75" x14ac:dyDescent="0.2">
      <c r="B186" s="4"/>
      <c r="C186" s="4"/>
      <c r="D186" s="5"/>
    </row>
    <row r="187" spans="2:4" ht="12.75" x14ac:dyDescent="0.2">
      <c r="B187" s="4"/>
      <c r="C187" s="4"/>
      <c r="D187" s="5"/>
    </row>
    <row r="188" spans="2:4" ht="12.75" x14ac:dyDescent="0.2">
      <c r="B188" s="4"/>
      <c r="C188" s="4"/>
      <c r="D188" s="5"/>
    </row>
    <row r="189" spans="2:4" ht="12.75" x14ac:dyDescent="0.2">
      <c r="B189" s="4"/>
      <c r="C189" s="4"/>
      <c r="D189" s="5"/>
    </row>
    <row r="190" spans="2:4" ht="12.75" x14ac:dyDescent="0.2">
      <c r="B190" s="4"/>
      <c r="C190" s="4"/>
      <c r="D190" s="5"/>
    </row>
    <row r="191" spans="2:4" ht="12.75" x14ac:dyDescent="0.2">
      <c r="B191" s="4"/>
      <c r="C191" s="4"/>
      <c r="D191" s="5"/>
    </row>
    <row r="192" spans="2:4" ht="12.75" x14ac:dyDescent="0.2">
      <c r="B192" s="4"/>
      <c r="C192" s="4"/>
      <c r="D192" s="5"/>
    </row>
    <row r="193" spans="2:4" ht="12.75" x14ac:dyDescent="0.2">
      <c r="B193" s="4"/>
      <c r="C193" s="4"/>
      <c r="D193" s="5"/>
    </row>
    <row r="194" spans="2:4" ht="12.75" x14ac:dyDescent="0.2">
      <c r="B194" s="4"/>
      <c r="C194" s="4"/>
      <c r="D194" s="5"/>
    </row>
    <row r="195" spans="2:4" ht="12.75" x14ac:dyDescent="0.2">
      <c r="B195" s="4"/>
      <c r="C195" s="4"/>
      <c r="D195" s="5"/>
    </row>
    <row r="196" spans="2:4" ht="12.75" x14ac:dyDescent="0.2">
      <c r="B196" s="4"/>
      <c r="C196" s="4"/>
      <c r="D196" s="5"/>
    </row>
    <row r="197" spans="2:4" ht="12.75" x14ac:dyDescent="0.2">
      <c r="B197" s="4"/>
      <c r="C197" s="4"/>
      <c r="D197" s="5"/>
    </row>
    <row r="198" spans="2:4" ht="12.75" x14ac:dyDescent="0.2">
      <c r="B198" s="4"/>
      <c r="C198" s="4"/>
      <c r="D198" s="5"/>
    </row>
    <row r="199" spans="2:4" ht="12.75" x14ac:dyDescent="0.2">
      <c r="B199" s="4"/>
      <c r="C199" s="4"/>
      <c r="D199" s="5"/>
    </row>
    <row r="200" spans="2:4" ht="12.75" x14ac:dyDescent="0.2">
      <c r="B200" s="4"/>
      <c r="C200" s="4"/>
      <c r="D200" s="5"/>
    </row>
    <row r="201" spans="2:4" ht="12.75" x14ac:dyDescent="0.2">
      <c r="B201" s="4"/>
      <c r="C201" s="4"/>
      <c r="D201" s="5"/>
    </row>
    <row r="202" spans="2:4" ht="12.75" x14ac:dyDescent="0.2">
      <c r="B202" s="4"/>
      <c r="C202" s="4"/>
      <c r="D202" s="5"/>
    </row>
    <row r="203" spans="2:4" ht="12.75" x14ac:dyDescent="0.2">
      <c r="B203" s="4"/>
      <c r="C203" s="4"/>
      <c r="D203" s="5"/>
    </row>
    <row r="204" spans="2:4" ht="12.75" x14ac:dyDescent="0.2">
      <c r="B204" s="4"/>
      <c r="C204" s="4"/>
      <c r="D204" s="5"/>
    </row>
    <row r="205" spans="2:4" ht="12.75" x14ac:dyDescent="0.2">
      <c r="B205" s="4"/>
      <c r="C205" s="4"/>
      <c r="D205" s="5"/>
    </row>
    <row r="206" spans="2:4" ht="12.75" x14ac:dyDescent="0.2">
      <c r="B206" s="4"/>
      <c r="C206" s="4"/>
      <c r="D206" s="5"/>
    </row>
    <row r="207" spans="2:4" ht="12.75" x14ac:dyDescent="0.2">
      <c r="B207" s="4"/>
      <c r="C207" s="4"/>
      <c r="D207" s="5"/>
    </row>
    <row r="208" spans="2:4" ht="12.75" x14ac:dyDescent="0.2">
      <c r="B208" s="4"/>
      <c r="C208" s="4"/>
      <c r="D208" s="5"/>
    </row>
    <row r="209" spans="2:4" ht="12.75" x14ac:dyDescent="0.2">
      <c r="B209" s="4"/>
      <c r="C209" s="4"/>
      <c r="D209" s="5"/>
    </row>
    <row r="210" spans="2:4" ht="12.75" x14ac:dyDescent="0.2">
      <c r="B210" s="4"/>
      <c r="C210" s="4"/>
      <c r="D210" s="5"/>
    </row>
    <row r="211" spans="2:4" ht="12.75" x14ac:dyDescent="0.2">
      <c r="B211" s="4"/>
      <c r="C211" s="4"/>
      <c r="D211" s="5"/>
    </row>
    <row r="212" spans="2:4" ht="12.75" x14ac:dyDescent="0.2">
      <c r="B212" s="4"/>
      <c r="C212" s="4"/>
      <c r="D212" s="5"/>
    </row>
    <row r="213" spans="2:4" ht="12.75" x14ac:dyDescent="0.2">
      <c r="B213" s="4"/>
      <c r="C213" s="4"/>
      <c r="D213" s="5"/>
    </row>
    <row r="214" spans="2:4" ht="12.75" x14ac:dyDescent="0.2">
      <c r="B214" s="4"/>
      <c r="C214" s="4"/>
      <c r="D214" s="5"/>
    </row>
    <row r="215" spans="2:4" ht="12.75" x14ac:dyDescent="0.2">
      <c r="B215" s="4"/>
      <c r="C215" s="4"/>
      <c r="D215" s="5"/>
    </row>
    <row r="216" spans="2:4" ht="12.75" x14ac:dyDescent="0.2">
      <c r="B216" s="4"/>
      <c r="C216" s="4"/>
      <c r="D216" s="5"/>
    </row>
    <row r="217" spans="2:4" ht="12.75" x14ac:dyDescent="0.2">
      <c r="B217" s="4"/>
      <c r="C217" s="4"/>
      <c r="D217" s="5"/>
    </row>
    <row r="218" spans="2:4" ht="12.75" x14ac:dyDescent="0.2">
      <c r="B218" s="4"/>
      <c r="C218" s="4"/>
      <c r="D218" s="5"/>
    </row>
    <row r="219" spans="2:4" ht="12.75" x14ac:dyDescent="0.2">
      <c r="B219" s="4"/>
      <c r="C219" s="4"/>
      <c r="D219" s="5"/>
    </row>
    <row r="220" spans="2:4" ht="12.75" x14ac:dyDescent="0.2">
      <c r="B220" s="4"/>
      <c r="C220" s="4"/>
      <c r="D220" s="5"/>
    </row>
    <row r="221" spans="2:4" ht="12.75" x14ac:dyDescent="0.2">
      <c r="B221" s="4"/>
      <c r="C221" s="4"/>
      <c r="D221" s="5"/>
    </row>
    <row r="222" spans="2:4" ht="12.75" x14ac:dyDescent="0.2">
      <c r="B222" s="4"/>
      <c r="C222" s="4"/>
      <c r="D222" s="5"/>
    </row>
    <row r="223" spans="2:4" ht="12.75" x14ac:dyDescent="0.2">
      <c r="B223" s="4"/>
      <c r="C223" s="4"/>
      <c r="D223" s="5"/>
    </row>
    <row r="224" spans="2:4" ht="12.75" x14ac:dyDescent="0.2">
      <c r="B224" s="4"/>
      <c r="C224" s="4"/>
      <c r="D224" s="5"/>
    </row>
    <row r="225" spans="2:4" ht="12.75" x14ac:dyDescent="0.2">
      <c r="B225" s="4"/>
      <c r="C225" s="4"/>
      <c r="D225" s="5"/>
    </row>
    <row r="226" spans="2:4" ht="12.75" x14ac:dyDescent="0.2">
      <c r="B226" s="4"/>
      <c r="C226" s="4"/>
      <c r="D226" s="5"/>
    </row>
    <row r="227" spans="2:4" ht="12.75" x14ac:dyDescent="0.2">
      <c r="B227" s="4"/>
      <c r="C227" s="4"/>
      <c r="D227" s="5"/>
    </row>
    <row r="228" spans="2:4" ht="12.75" x14ac:dyDescent="0.2">
      <c r="B228" s="4"/>
      <c r="C228" s="4"/>
      <c r="D228" s="5"/>
    </row>
    <row r="229" spans="2:4" ht="12.75" x14ac:dyDescent="0.2">
      <c r="B229" s="4"/>
      <c r="C229" s="4"/>
      <c r="D229" s="5"/>
    </row>
    <row r="230" spans="2:4" ht="12.75" x14ac:dyDescent="0.2">
      <c r="B230" s="4"/>
      <c r="C230" s="4"/>
      <c r="D230" s="5"/>
    </row>
    <row r="231" spans="2:4" ht="12.75" x14ac:dyDescent="0.2">
      <c r="B231" s="4"/>
      <c r="C231" s="4"/>
      <c r="D231" s="5"/>
    </row>
    <row r="232" spans="2:4" ht="12.75" x14ac:dyDescent="0.2">
      <c r="B232" s="4"/>
      <c r="C232" s="4"/>
      <c r="D232" s="5"/>
    </row>
    <row r="233" spans="2:4" ht="12.75" x14ac:dyDescent="0.2">
      <c r="B233" s="4"/>
      <c r="C233" s="4"/>
      <c r="D233" s="5"/>
    </row>
    <row r="234" spans="2:4" ht="12.75" x14ac:dyDescent="0.2">
      <c r="B234" s="4"/>
      <c r="C234" s="4"/>
      <c r="D234" s="5"/>
    </row>
    <row r="235" spans="2:4" ht="12.75" x14ac:dyDescent="0.2">
      <c r="B235" s="4"/>
      <c r="C235" s="4"/>
      <c r="D235" s="5"/>
    </row>
    <row r="236" spans="2:4" ht="12.75" x14ac:dyDescent="0.2">
      <c r="B236" s="4"/>
      <c r="C236" s="4"/>
      <c r="D236" s="5"/>
    </row>
    <row r="237" spans="2:4" ht="12.75" x14ac:dyDescent="0.2">
      <c r="B237" s="4"/>
      <c r="C237" s="4"/>
      <c r="D237" s="5"/>
    </row>
    <row r="238" spans="2:4" ht="12.75" x14ac:dyDescent="0.2">
      <c r="B238" s="4"/>
      <c r="C238" s="4"/>
      <c r="D238" s="5"/>
    </row>
    <row r="239" spans="2:4" ht="12.75" x14ac:dyDescent="0.2">
      <c r="B239" s="4"/>
      <c r="C239" s="4"/>
      <c r="D239" s="5"/>
    </row>
    <row r="240" spans="2:4" ht="12.75" x14ac:dyDescent="0.2">
      <c r="B240" s="4"/>
      <c r="C240" s="4"/>
      <c r="D240" s="5"/>
    </row>
    <row r="241" spans="2:4" ht="12.75" x14ac:dyDescent="0.2">
      <c r="B241" s="4"/>
      <c r="C241" s="4"/>
      <c r="D241" s="5"/>
    </row>
    <row r="242" spans="2:4" ht="12.75" x14ac:dyDescent="0.2">
      <c r="B242" s="4"/>
      <c r="C242" s="4"/>
      <c r="D242" s="5"/>
    </row>
    <row r="243" spans="2:4" ht="12.75" x14ac:dyDescent="0.2">
      <c r="B243" s="4"/>
      <c r="C243" s="4"/>
      <c r="D243" s="5"/>
    </row>
    <row r="244" spans="2:4" ht="12.75" x14ac:dyDescent="0.2">
      <c r="B244" s="4"/>
      <c r="C244" s="4"/>
      <c r="D244" s="5"/>
    </row>
    <row r="245" spans="2:4" ht="12.75" x14ac:dyDescent="0.2">
      <c r="B245" s="4"/>
      <c r="C245" s="4"/>
      <c r="D245" s="5"/>
    </row>
    <row r="246" spans="2:4" ht="12.75" x14ac:dyDescent="0.2">
      <c r="B246" s="4"/>
      <c r="C246" s="4"/>
      <c r="D246" s="5"/>
    </row>
    <row r="247" spans="2:4" ht="12.75" x14ac:dyDescent="0.2">
      <c r="B247" s="4"/>
      <c r="C247" s="4"/>
      <c r="D247" s="5"/>
    </row>
    <row r="248" spans="2:4" ht="12.75" x14ac:dyDescent="0.2">
      <c r="B248" s="4"/>
      <c r="C248" s="4"/>
      <c r="D248" s="5"/>
    </row>
    <row r="249" spans="2:4" ht="12.75" x14ac:dyDescent="0.2">
      <c r="B249" s="4"/>
      <c r="C249" s="4"/>
      <c r="D249" s="5"/>
    </row>
    <row r="250" spans="2:4" ht="12.75" x14ac:dyDescent="0.2">
      <c r="B250" s="4"/>
      <c r="C250" s="4"/>
      <c r="D250" s="5"/>
    </row>
    <row r="251" spans="2:4" ht="12.75" x14ac:dyDescent="0.2">
      <c r="B251" s="4"/>
      <c r="C251" s="4"/>
      <c r="D251" s="5"/>
    </row>
    <row r="252" spans="2:4" ht="12.75" x14ac:dyDescent="0.2">
      <c r="B252" s="4"/>
      <c r="C252" s="4"/>
      <c r="D252" s="5"/>
    </row>
    <row r="253" spans="2:4" ht="12.75" x14ac:dyDescent="0.2">
      <c r="B253" s="4"/>
      <c r="C253" s="4"/>
      <c r="D253" s="5"/>
    </row>
    <row r="254" spans="2:4" ht="12.75" x14ac:dyDescent="0.2">
      <c r="B254" s="4"/>
      <c r="C254" s="4"/>
      <c r="D254" s="5"/>
    </row>
    <row r="255" spans="2:4" ht="12.75" x14ac:dyDescent="0.2">
      <c r="B255" s="4"/>
      <c r="C255" s="4"/>
      <c r="D255" s="5"/>
    </row>
    <row r="256" spans="2:4" ht="12.75" x14ac:dyDescent="0.2">
      <c r="B256" s="4"/>
      <c r="C256" s="4"/>
      <c r="D256" s="5"/>
    </row>
    <row r="257" spans="2:4" ht="12.75" x14ac:dyDescent="0.2">
      <c r="B257" s="4"/>
      <c r="C257" s="4"/>
      <c r="D257" s="5"/>
    </row>
    <row r="258" spans="2:4" ht="12.75" x14ac:dyDescent="0.2">
      <c r="B258" s="4"/>
      <c r="C258" s="4"/>
      <c r="D258" s="5"/>
    </row>
    <row r="259" spans="2:4" ht="12.75" x14ac:dyDescent="0.2">
      <c r="B259" s="4"/>
      <c r="C259" s="4"/>
      <c r="D259" s="5"/>
    </row>
    <row r="260" spans="2:4" ht="12.75" x14ac:dyDescent="0.2">
      <c r="B260" s="4"/>
      <c r="C260" s="4"/>
      <c r="D260" s="5"/>
    </row>
    <row r="261" spans="2:4" ht="12.75" x14ac:dyDescent="0.2">
      <c r="B261" s="4"/>
      <c r="C261" s="4"/>
      <c r="D261" s="5"/>
    </row>
    <row r="262" spans="2:4" ht="12.75" x14ac:dyDescent="0.2">
      <c r="B262" s="4"/>
      <c r="C262" s="4"/>
      <c r="D262" s="5"/>
    </row>
    <row r="263" spans="2:4" ht="12.75" x14ac:dyDescent="0.2">
      <c r="B263" s="4"/>
      <c r="C263" s="4"/>
      <c r="D263" s="5"/>
    </row>
    <row r="264" spans="2:4" ht="12.75" x14ac:dyDescent="0.2">
      <c r="B264" s="4"/>
      <c r="C264" s="4"/>
      <c r="D264" s="5"/>
    </row>
    <row r="265" spans="2:4" ht="12.75" x14ac:dyDescent="0.2">
      <c r="B265" s="4"/>
      <c r="C265" s="4"/>
      <c r="D265" s="5"/>
    </row>
    <row r="266" spans="2:4" ht="12.75" x14ac:dyDescent="0.2">
      <c r="B266" s="4"/>
      <c r="C266" s="4"/>
      <c r="D266" s="5"/>
    </row>
    <row r="267" spans="2:4" ht="12.75" x14ac:dyDescent="0.2">
      <c r="B267" s="4"/>
      <c r="C267" s="4"/>
      <c r="D267" s="5"/>
    </row>
    <row r="268" spans="2:4" ht="12.75" x14ac:dyDescent="0.2">
      <c r="B268" s="4"/>
      <c r="C268" s="4"/>
      <c r="D268" s="5"/>
    </row>
    <row r="269" spans="2:4" ht="12.75" x14ac:dyDescent="0.2">
      <c r="B269" s="4"/>
      <c r="C269" s="4"/>
      <c r="D269" s="5"/>
    </row>
    <row r="270" spans="2:4" ht="12.75" x14ac:dyDescent="0.2">
      <c r="B270" s="4"/>
      <c r="C270" s="4"/>
      <c r="D270" s="5"/>
    </row>
    <row r="271" spans="2:4" ht="12.75" x14ac:dyDescent="0.2">
      <c r="B271" s="4"/>
      <c r="C271" s="4"/>
      <c r="D271" s="5"/>
    </row>
    <row r="272" spans="2:4" ht="12.75" x14ac:dyDescent="0.2">
      <c r="B272" s="4"/>
      <c r="C272" s="4"/>
      <c r="D272" s="5"/>
    </row>
    <row r="273" spans="2:4" ht="12.75" x14ac:dyDescent="0.2">
      <c r="B273" s="4"/>
      <c r="C273" s="4"/>
      <c r="D273" s="5"/>
    </row>
    <row r="274" spans="2:4" ht="12.75" x14ac:dyDescent="0.2">
      <c r="B274" s="4"/>
      <c r="C274" s="4"/>
      <c r="D274" s="5"/>
    </row>
    <row r="275" spans="2:4" ht="12.75" x14ac:dyDescent="0.2">
      <c r="B275" s="4"/>
      <c r="C275" s="4"/>
      <c r="D275" s="5"/>
    </row>
    <row r="276" spans="2:4" ht="12.75" x14ac:dyDescent="0.2">
      <c r="B276" s="4"/>
      <c r="C276" s="4"/>
      <c r="D276" s="5"/>
    </row>
    <row r="277" spans="2:4" ht="12.75" x14ac:dyDescent="0.2">
      <c r="B277" s="4"/>
      <c r="C277" s="4"/>
      <c r="D277" s="5"/>
    </row>
    <row r="278" spans="2:4" ht="12.75" x14ac:dyDescent="0.2">
      <c r="B278" s="4"/>
      <c r="C278" s="4"/>
      <c r="D278" s="5"/>
    </row>
    <row r="279" spans="2:4" ht="12.75" x14ac:dyDescent="0.2">
      <c r="B279" s="4"/>
      <c r="C279" s="4"/>
      <c r="D279" s="5"/>
    </row>
    <row r="280" spans="2:4" ht="12.75" x14ac:dyDescent="0.2">
      <c r="B280" s="4"/>
      <c r="C280" s="4"/>
      <c r="D280" s="5"/>
    </row>
    <row r="281" spans="2:4" ht="12.75" x14ac:dyDescent="0.2">
      <c r="B281" s="4"/>
      <c r="C281" s="4"/>
      <c r="D281" s="5"/>
    </row>
    <row r="282" spans="2:4" ht="12.75" x14ac:dyDescent="0.2">
      <c r="B282" s="4"/>
      <c r="C282" s="4"/>
      <c r="D282" s="5"/>
    </row>
    <row r="283" spans="2:4" ht="12.75" x14ac:dyDescent="0.2">
      <c r="B283" s="4"/>
      <c r="C283" s="4"/>
      <c r="D283" s="5"/>
    </row>
    <row r="284" spans="2:4" ht="12.75" x14ac:dyDescent="0.2">
      <c r="B284" s="4"/>
      <c r="C284" s="4"/>
      <c r="D284" s="5"/>
    </row>
    <row r="285" spans="2:4" ht="12.75" x14ac:dyDescent="0.2">
      <c r="B285" s="4"/>
      <c r="C285" s="4"/>
      <c r="D285" s="5"/>
    </row>
    <row r="286" spans="2:4" ht="12.75" x14ac:dyDescent="0.2">
      <c r="B286" s="4"/>
      <c r="C286" s="4"/>
      <c r="D286" s="5"/>
    </row>
    <row r="287" spans="2:4" ht="12.75" x14ac:dyDescent="0.2">
      <c r="B287" s="4"/>
      <c r="C287" s="4"/>
      <c r="D287" s="5"/>
    </row>
    <row r="288" spans="2:4" ht="12.75" x14ac:dyDescent="0.2">
      <c r="B288" s="4"/>
      <c r="C288" s="4"/>
      <c r="D288" s="5"/>
    </row>
    <row r="289" spans="2:4" ht="12.75" x14ac:dyDescent="0.2">
      <c r="B289" s="4"/>
      <c r="C289" s="4"/>
      <c r="D289" s="5"/>
    </row>
    <row r="290" spans="2:4" ht="12.75" x14ac:dyDescent="0.2">
      <c r="B290" s="4"/>
      <c r="C290" s="4"/>
      <c r="D290" s="5"/>
    </row>
    <row r="291" spans="2:4" ht="12.75" x14ac:dyDescent="0.2">
      <c r="B291" s="4"/>
      <c r="C291" s="4"/>
      <c r="D291" s="5"/>
    </row>
    <row r="292" spans="2:4" ht="12.75" x14ac:dyDescent="0.2">
      <c r="B292" s="4"/>
      <c r="C292" s="4"/>
      <c r="D292" s="5"/>
    </row>
    <row r="293" spans="2:4" ht="12.75" x14ac:dyDescent="0.2">
      <c r="B293" s="4"/>
      <c r="C293" s="4"/>
      <c r="D293" s="5"/>
    </row>
    <row r="294" spans="2:4" ht="12.75" x14ac:dyDescent="0.2">
      <c r="B294" s="4"/>
      <c r="C294" s="4"/>
      <c r="D294" s="5"/>
    </row>
    <row r="295" spans="2:4" ht="12.75" x14ac:dyDescent="0.2">
      <c r="B295" s="4"/>
      <c r="C295" s="4"/>
      <c r="D295" s="5"/>
    </row>
    <row r="296" spans="2:4" ht="12.75" x14ac:dyDescent="0.2">
      <c r="B296" s="4"/>
      <c r="C296" s="4"/>
      <c r="D296" s="5"/>
    </row>
    <row r="297" spans="2:4" ht="12.75" x14ac:dyDescent="0.2">
      <c r="B297" s="4"/>
      <c r="C297" s="4"/>
      <c r="D297" s="5"/>
    </row>
    <row r="298" spans="2:4" ht="12.75" x14ac:dyDescent="0.2">
      <c r="B298" s="4"/>
      <c r="C298" s="4"/>
      <c r="D298" s="5"/>
    </row>
    <row r="299" spans="2:4" ht="12.75" x14ac:dyDescent="0.2">
      <c r="B299" s="4"/>
      <c r="C299" s="4"/>
      <c r="D299" s="5"/>
    </row>
    <row r="300" spans="2:4" ht="12.75" x14ac:dyDescent="0.2">
      <c r="B300" s="4"/>
      <c r="C300" s="4"/>
      <c r="D300" s="5"/>
    </row>
    <row r="301" spans="2:4" ht="12.75" x14ac:dyDescent="0.2">
      <c r="B301" s="4"/>
      <c r="C301" s="4"/>
      <c r="D301" s="5"/>
    </row>
    <row r="302" spans="2:4" ht="12.75" x14ac:dyDescent="0.2">
      <c r="B302" s="4"/>
      <c r="C302" s="4"/>
      <c r="D302" s="5"/>
    </row>
    <row r="303" spans="2:4" ht="12.75" x14ac:dyDescent="0.2">
      <c r="B303" s="4"/>
      <c r="C303" s="4"/>
      <c r="D303" s="5"/>
    </row>
    <row r="304" spans="2:4" ht="12.75" x14ac:dyDescent="0.2">
      <c r="B304" s="4"/>
      <c r="C304" s="4"/>
      <c r="D304" s="5"/>
    </row>
    <row r="305" spans="2:4" ht="12.75" x14ac:dyDescent="0.2">
      <c r="B305" s="4"/>
      <c r="C305" s="4"/>
      <c r="D305" s="5"/>
    </row>
    <row r="306" spans="2:4" ht="12.75" x14ac:dyDescent="0.2">
      <c r="B306" s="4"/>
      <c r="C306" s="4"/>
      <c r="D306" s="5"/>
    </row>
    <row r="307" spans="2:4" ht="12.75" x14ac:dyDescent="0.2">
      <c r="B307" s="4"/>
      <c r="C307" s="4"/>
      <c r="D307" s="5"/>
    </row>
    <row r="308" spans="2:4" ht="12.75" x14ac:dyDescent="0.2">
      <c r="B308" s="4"/>
      <c r="C308" s="4"/>
      <c r="D308" s="5"/>
    </row>
    <row r="309" spans="2:4" ht="12.75" x14ac:dyDescent="0.2">
      <c r="B309" s="4"/>
      <c r="C309" s="4"/>
      <c r="D309" s="5"/>
    </row>
    <row r="310" spans="2:4" ht="12.75" x14ac:dyDescent="0.2">
      <c r="B310" s="4"/>
      <c r="C310" s="4"/>
      <c r="D310" s="5"/>
    </row>
    <row r="311" spans="2:4" ht="12.75" x14ac:dyDescent="0.2">
      <c r="B311" s="4"/>
      <c r="C311" s="4"/>
      <c r="D311" s="5"/>
    </row>
    <row r="312" spans="2:4" ht="12.75" x14ac:dyDescent="0.2">
      <c r="B312" s="4"/>
      <c r="C312" s="4"/>
      <c r="D312" s="5"/>
    </row>
    <row r="313" spans="2:4" ht="12.75" x14ac:dyDescent="0.2">
      <c r="B313" s="4"/>
      <c r="C313" s="4"/>
      <c r="D313" s="5"/>
    </row>
    <row r="314" spans="2:4" ht="12.75" x14ac:dyDescent="0.2">
      <c r="B314" s="4"/>
      <c r="C314" s="4"/>
      <c r="D314" s="5"/>
    </row>
    <row r="315" spans="2:4" ht="12.75" x14ac:dyDescent="0.2">
      <c r="B315" s="4"/>
      <c r="C315" s="4"/>
      <c r="D315" s="5"/>
    </row>
    <row r="316" spans="2:4" ht="12.75" x14ac:dyDescent="0.2">
      <c r="B316" s="4"/>
      <c r="C316" s="4"/>
      <c r="D316" s="5"/>
    </row>
    <row r="317" spans="2:4" ht="12.75" x14ac:dyDescent="0.2">
      <c r="B317" s="4"/>
      <c r="C317" s="4"/>
      <c r="D317" s="5"/>
    </row>
    <row r="318" spans="2:4" ht="12.75" x14ac:dyDescent="0.2">
      <c r="B318" s="4"/>
      <c r="C318" s="4"/>
      <c r="D318" s="5"/>
    </row>
    <row r="319" spans="2:4" ht="12.75" x14ac:dyDescent="0.2">
      <c r="B319" s="4"/>
      <c r="C319" s="4"/>
      <c r="D319" s="5"/>
    </row>
    <row r="320" spans="2:4" ht="12.75" x14ac:dyDescent="0.2">
      <c r="B320" s="4"/>
      <c r="C320" s="4"/>
      <c r="D320" s="5"/>
    </row>
    <row r="321" spans="2:4" ht="12.75" x14ac:dyDescent="0.2">
      <c r="B321" s="4"/>
      <c r="C321" s="4"/>
      <c r="D321" s="5"/>
    </row>
    <row r="322" spans="2:4" ht="12.75" x14ac:dyDescent="0.2">
      <c r="B322" s="4"/>
      <c r="C322" s="4"/>
      <c r="D322" s="5"/>
    </row>
    <row r="323" spans="2:4" ht="12.75" x14ac:dyDescent="0.2">
      <c r="B323" s="4"/>
      <c r="C323" s="4"/>
      <c r="D323" s="5"/>
    </row>
    <row r="324" spans="2:4" ht="12.75" x14ac:dyDescent="0.2">
      <c r="B324" s="4"/>
      <c r="C324" s="4"/>
      <c r="D324" s="5"/>
    </row>
    <row r="325" spans="2:4" ht="12.75" x14ac:dyDescent="0.2">
      <c r="B325" s="4"/>
      <c r="C325" s="4"/>
      <c r="D325" s="5"/>
    </row>
    <row r="326" spans="2:4" ht="12.75" x14ac:dyDescent="0.2">
      <c r="B326" s="4"/>
      <c r="C326" s="4"/>
      <c r="D326" s="5"/>
    </row>
    <row r="327" spans="2:4" ht="12.75" x14ac:dyDescent="0.2">
      <c r="B327" s="4"/>
      <c r="C327" s="4"/>
      <c r="D327" s="5"/>
    </row>
    <row r="328" spans="2:4" ht="12.75" x14ac:dyDescent="0.2">
      <c r="B328" s="4"/>
      <c r="C328" s="4"/>
      <c r="D328" s="5"/>
    </row>
    <row r="329" spans="2:4" ht="12.75" x14ac:dyDescent="0.2">
      <c r="B329" s="4"/>
      <c r="C329" s="4"/>
      <c r="D329" s="5"/>
    </row>
    <row r="330" spans="2:4" ht="12.75" x14ac:dyDescent="0.2">
      <c r="B330" s="4"/>
      <c r="C330" s="4"/>
      <c r="D330" s="5"/>
    </row>
    <row r="331" spans="2:4" ht="12.75" x14ac:dyDescent="0.2">
      <c r="B331" s="4"/>
      <c r="C331" s="4"/>
      <c r="D331" s="5"/>
    </row>
    <row r="332" spans="2:4" ht="12.75" x14ac:dyDescent="0.2">
      <c r="B332" s="4"/>
      <c r="C332" s="4"/>
      <c r="D332" s="5"/>
    </row>
    <row r="333" spans="2:4" ht="12.75" x14ac:dyDescent="0.2">
      <c r="B333" s="4"/>
      <c r="C333" s="4"/>
      <c r="D333" s="5"/>
    </row>
    <row r="334" spans="2:4" ht="12.75" x14ac:dyDescent="0.2">
      <c r="B334" s="4"/>
      <c r="C334" s="4"/>
      <c r="D334" s="5"/>
    </row>
    <row r="335" spans="2:4" ht="12.75" x14ac:dyDescent="0.2">
      <c r="B335" s="4"/>
      <c r="C335" s="4"/>
      <c r="D335" s="5"/>
    </row>
    <row r="336" spans="2:4" ht="12.75" x14ac:dyDescent="0.2">
      <c r="B336" s="4"/>
      <c r="C336" s="4"/>
      <c r="D336" s="5"/>
    </row>
    <row r="337" spans="2:4" ht="12.75" x14ac:dyDescent="0.2">
      <c r="B337" s="4"/>
      <c r="C337" s="4"/>
      <c r="D337" s="5"/>
    </row>
    <row r="338" spans="2:4" ht="12.75" x14ac:dyDescent="0.2">
      <c r="B338" s="4"/>
      <c r="C338" s="4"/>
      <c r="D338" s="5"/>
    </row>
    <row r="339" spans="2:4" ht="12.75" x14ac:dyDescent="0.2">
      <c r="B339" s="4"/>
      <c r="C339" s="4"/>
      <c r="D339" s="5"/>
    </row>
    <row r="340" spans="2:4" ht="12.75" x14ac:dyDescent="0.2">
      <c r="B340" s="4"/>
      <c r="C340" s="4"/>
      <c r="D340" s="5"/>
    </row>
    <row r="341" spans="2:4" ht="12.75" x14ac:dyDescent="0.2">
      <c r="B341" s="4"/>
      <c r="C341" s="4"/>
      <c r="D341" s="5"/>
    </row>
    <row r="342" spans="2:4" ht="12.75" x14ac:dyDescent="0.2">
      <c r="B342" s="4"/>
      <c r="C342" s="4"/>
      <c r="D342" s="5"/>
    </row>
    <row r="343" spans="2:4" ht="12.75" x14ac:dyDescent="0.2">
      <c r="B343" s="4"/>
      <c r="C343" s="4"/>
      <c r="D343" s="5"/>
    </row>
    <row r="344" spans="2:4" ht="12.75" x14ac:dyDescent="0.2">
      <c r="B344" s="4"/>
      <c r="C344" s="4"/>
      <c r="D344" s="5"/>
    </row>
    <row r="345" spans="2:4" ht="12.75" x14ac:dyDescent="0.2">
      <c r="B345" s="4"/>
      <c r="C345" s="4"/>
      <c r="D345" s="5"/>
    </row>
    <row r="346" spans="2:4" ht="12.75" x14ac:dyDescent="0.2">
      <c r="B346" s="4"/>
      <c r="C346" s="4"/>
      <c r="D346" s="5"/>
    </row>
    <row r="347" spans="2:4" ht="12.75" x14ac:dyDescent="0.2">
      <c r="B347" s="4"/>
      <c r="C347" s="4"/>
      <c r="D347" s="5"/>
    </row>
    <row r="348" spans="2:4" ht="12.75" x14ac:dyDescent="0.2">
      <c r="B348" s="4"/>
      <c r="C348" s="4"/>
      <c r="D348" s="5"/>
    </row>
    <row r="349" spans="2:4" ht="12.75" x14ac:dyDescent="0.2">
      <c r="B349" s="4"/>
      <c r="C349" s="4"/>
      <c r="D349" s="5"/>
    </row>
    <row r="350" spans="2:4" ht="12.75" x14ac:dyDescent="0.2">
      <c r="B350" s="4"/>
      <c r="C350" s="4"/>
      <c r="D350" s="5"/>
    </row>
    <row r="351" spans="2:4" ht="12.75" x14ac:dyDescent="0.2">
      <c r="B351" s="4"/>
      <c r="C351" s="4"/>
      <c r="D351" s="5"/>
    </row>
    <row r="352" spans="2:4" ht="12.75" x14ac:dyDescent="0.2">
      <c r="B352" s="4"/>
      <c r="C352" s="4"/>
      <c r="D352" s="5"/>
    </row>
    <row r="353" spans="2:4" ht="12.75" x14ac:dyDescent="0.2">
      <c r="B353" s="4"/>
      <c r="C353" s="4"/>
      <c r="D353" s="5"/>
    </row>
    <row r="354" spans="2:4" ht="12.75" x14ac:dyDescent="0.2">
      <c r="B354" s="4"/>
      <c r="C354" s="4"/>
      <c r="D354" s="5"/>
    </row>
    <row r="355" spans="2:4" ht="12.75" x14ac:dyDescent="0.2">
      <c r="B355" s="4"/>
      <c r="C355" s="4"/>
      <c r="D355" s="5"/>
    </row>
    <row r="356" spans="2:4" ht="12.75" x14ac:dyDescent="0.2">
      <c r="B356" s="4"/>
      <c r="C356" s="4"/>
      <c r="D356" s="5"/>
    </row>
    <row r="357" spans="2:4" ht="12.75" x14ac:dyDescent="0.2">
      <c r="B357" s="4"/>
      <c r="C357" s="4"/>
      <c r="D357" s="5"/>
    </row>
    <row r="358" spans="2:4" ht="12.75" x14ac:dyDescent="0.2">
      <c r="B358" s="4"/>
      <c r="C358" s="4"/>
      <c r="D358" s="5"/>
    </row>
    <row r="359" spans="2:4" ht="12.75" x14ac:dyDescent="0.2">
      <c r="B359" s="4"/>
      <c r="C359" s="4"/>
      <c r="D359" s="5"/>
    </row>
    <row r="360" spans="2:4" ht="12.75" x14ac:dyDescent="0.2">
      <c r="B360" s="4"/>
      <c r="C360" s="4"/>
      <c r="D360" s="5"/>
    </row>
    <row r="361" spans="2:4" ht="12.75" x14ac:dyDescent="0.2">
      <c r="B361" s="4"/>
      <c r="C361" s="4"/>
      <c r="D361" s="5"/>
    </row>
    <row r="362" spans="2:4" ht="12.75" x14ac:dyDescent="0.2">
      <c r="B362" s="4"/>
      <c r="C362" s="4"/>
      <c r="D362" s="5"/>
    </row>
    <row r="363" spans="2:4" ht="12.75" x14ac:dyDescent="0.2">
      <c r="B363" s="4"/>
      <c r="C363" s="4"/>
      <c r="D363" s="5"/>
    </row>
    <row r="364" spans="2:4" ht="12.75" x14ac:dyDescent="0.2">
      <c r="B364" s="4"/>
      <c r="C364" s="4"/>
      <c r="D364" s="5"/>
    </row>
    <row r="365" spans="2:4" ht="12.75" x14ac:dyDescent="0.2">
      <c r="B365" s="4"/>
      <c r="C365" s="4"/>
      <c r="D365" s="5"/>
    </row>
    <row r="366" spans="2:4" ht="12.75" x14ac:dyDescent="0.2">
      <c r="B366" s="4"/>
      <c r="C366" s="4"/>
      <c r="D366" s="5"/>
    </row>
    <row r="367" spans="2:4" ht="12.75" x14ac:dyDescent="0.2">
      <c r="B367" s="4"/>
      <c r="C367" s="4"/>
      <c r="D367" s="5"/>
    </row>
    <row r="368" spans="2:4" ht="12.75" x14ac:dyDescent="0.2">
      <c r="B368" s="4"/>
      <c r="C368" s="4"/>
      <c r="D368" s="5"/>
    </row>
    <row r="369" spans="2:4" ht="12.75" x14ac:dyDescent="0.2">
      <c r="B369" s="4"/>
      <c r="C369" s="4"/>
      <c r="D369" s="5"/>
    </row>
    <row r="370" spans="2:4" ht="12.75" x14ac:dyDescent="0.2">
      <c r="B370" s="4"/>
      <c r="C370" s="4"/>
      <c r="D370" s="5"/>
    </row>
    <row r="371" spans="2:4" ht="12.75" x14ac:dyDescent="0.2">
      <c r="B371" s="4"/>
      <c r="C371" s="4"/>
      <c r="D371" s="5"/>
    </row>
    <row r="372" spans="2:4" ht="12.75" x14ac:dyDescent="0.2">
      <c r="B372" s="4"/>
      <c r="C372" s="4"/>
      <c r="D372" s="5"/>
    </row>
    <row r="373" spans="2:4" ht="12.75" x14ac:dyDescent="0.2">
      <c r="B373" s="4"/>
      <c r="C373" s="4"/>
      <c r="D373" s="5"/>
    </row>
    <row r="374" spans="2:4" ht="12.75" x14ac:dyDescent="0.2">
      <c r="B374" s="4"/>
      <c r="C374" s="4"/>
      <c r="D374" s="5"/>
    </row>
    <row r="375" spans="2:4" ht="12.75" x14ac:dyDescent="0.2">
      <c r="B375" s="4"/>
      <c r="C375" s="4"/>
      <c r="D375" s="5"/>
    </row>
    <row r="376" spans="2:4" ht="12.75" x14ac:dyDescent="0.2">
      <c r="B376" s="4"/>
      <c r="C376" s="4"/>
      <c r="D376" s="5"/>
    </row>
    <row r="377" spans="2:4" ht="12.75" x14ac:dyDescent="0.2">
      <c r="B377" s="4"/>
      <c r="C377" s="4"/>
      <c r="D377" s="5"/>
    </row>
    <row r="378" spans="2:4" ht="12.75" x14ac:dyDescent="0.2">
      <c r="B378" s="4"/>
      <c r="C378" s="4"/>
      <c r="D378" s="5"/>
    </row>
    <row r="379" spans="2:4" ht="12.75" x14ac:dyDescent="0.2">
      <c r="B379" s="4"/>
      <c r="C379" s="4"/>
      <c r="D379" s="5"/>
    </row>
    <row r="380" spans="2:4" ht="12.75" x14ac:dyDescent="0.2">
      <c r="B380" s="4"/>
      <c r="C380" s="4"/>
      <c r="D380" s="5"/>
    </row>
    <row r="381" spans="2:4" ht="12.75" x14ac:dyDescent="0.2">
      <c r="B381" s="4"/>
      <c r="C381" s="4"/>
      <c r="D381" s="5"/>
    </row>
    <row r="382" spans="2:4" ht="12.75" x14ac:dyDescent="0.2">
      <c r="B382" s="4"/>
      <c r="C382" s="4"/>
      <c r="D382" s="5"/>
    </row>
    <row r="383" spans="2:4" ht="12.75" x14ac:dyDescent="0.2">
      <c r="B383" s="4"/>
      <c r="C383" s="4"/>
      <c r="D383" s="5"/>
    </row>
    <row r="384" spans="2:4" ht="12.75" x14ac:dyDescent="0.2">
      <c r="B384" s="4"/>
      <c r="C384" s="4"/>
      <c r="D384" s="5"/>
    </row>
    <row r="385" spans="2:4" ht="12.75" x14ac:dyDescent="0.2">
      <c r="B385" s="4"/>
      <c r="C385" s="4"/>
      <c r="D385" s="5"/>
    </row>
    <row r="386" spans="2:4" ht="12.75" x14ac:dyDescent="0.2">
      <c r="B386" s="4"/>
      <c r="C386" s="4"/>
      <c r="D386" s="5"/>
    </row>
    <row r="387" spans="2:4" ht="12.75" x14ac:dyDescent="0.2">
      <c r="B387" s="4"/>
      <c r="C387" s="4"/>
      <c r="D387" s="5"/>
    </row>
    <row r="388" spans="2:4" ht="12.75" x14ac:dyDescent="0.2">
      <c r="B388" s="4"/>
      <c r="C388" s="4"/>
      <c r="D388" s="5"/>
    </row>
    <row r="389" spans="2:4" ht="12.75" x14ac:dyDescent="0.2">
      <c r="B389" s="4"/>
      <c r="C389" s="4"/>
      <c r="D389" s="5"/>
    </row>
    <row r="390" spans="2:4" ht="12.75" x14ac:dyDescent="0.2">
      <c r="B390" s="4"/>
      <c r="C390" s="4"/>
      <c r="D390" s="5"/>
    </row>
    <row r="391" spans="2:4" ht="12.75" x14ac:dyDescent="0.2">
      <c r="B391" s="4"/>
      <c r="C391" s="4"/>
      <c r="D391" s="5"/>
    </row>
    <row r="392" spans="2:4" ht="12.75" x14ac:dyDescent="0.2">
      <c r="B392" s="4"/>
      <c r="C392" s="4"/>
      <c r="D392" s="5"/>
    </row>
    <row r="393" spans="2:4" ht="12.75" x14ac:dyDescent="0.2">
      <c r="B393" s="4"/>
      <c r="C393" s="4"/>
      <c r="D393" s="5"/>
    </row>
    <row r="394" spans="2:4" ht="12.75" x14ac:dyDescent="0.2">
      <c r="B394" s="4"/>
      <c r="C394" s="4"/>
      <c r="D394" s="5"/>
    </row>
    <row r="395" spans="2:4" ht="12.75" x14ac:dyDescent="0.2">
      <c r="B395" s="4"/>
      <c r="C395" s="4"/>
      <c r="D395" s="5"/>
    </row>
    <row r="396" spans="2:4" ht="12.75" x14ac:dyDescent="0.2">
      <c r="B396" s="4"/>
      <c r="C396" s="4"/>
      <c r="D396" s="5"/>
    </row>
    <row r="397" spans="2:4" ht="12.75" x14ac:dyDescent="0.2">
      <c r="B397" s="4"/>
      <c r="C397" s="4"/>
      <c r="D397" s="5"/>
    </row>
    <row r="398" spans="2:4" ht="12.75" x14ac:dyDescent="0.2">
      <c r="B398" s="4"/>
      <c r="C398" s="4"/>
      <c r="D398" s="5"/>
    </row>
    <row r="399" spans="2:4" ht="12.75" x14ac:dyDescent="0.2">
      <c r="B399" s="4"/>
      <c r="C399" s="4"/>
      <c r="D399" s="5"/>
    </row>
    <row r="400" spans="2:4" ht="12.75" x14ac:dyDescent="0.2">
      <c r="B400" s="4"/>
      <c r="C400" s="4"/>
      <c r="D400" s="5"/>
    </row>
    <row r="401" spans="2:4" ht="12.75" x14ac:dyDescent="0.2">
      <c r="B401" s="4"/>
      <c r="C401" s="4"/>
      <c r="D401" s="5"/>
    </row>
    <row r="402" spans="2:4" ht="12.75" x14ac:dyDescent="0.2">
      <c r="B402" s="4"/>
      <c r="C402" s="4"/>
      <c r="D402" s="5"/>
    </row>
    <row r="403" spans="2:4" ht="12.75" x14ac:dyDescent="0.2">
      <c r="B403" s="4"/>
      <c r="C403" s="4"/>
      <c r="D403" s="5"/>
    </row>
    <row r="404" spans="2:4" ht="12.75" x14ac:dyDescent="0.2">
      <c r="B404" s="4"/>
      <c r="C404" s="4"/>
      <c r="D404" s="5"/>
    </row>
    <row r="405" spans="2:4" ht="12.75" x14ac:dyDescent="0.2">
      <c r="B405" s="4"/>
      <c r="C405" s="4"/>
      <c r="D405" s="5"/>
    </row>
    <row r="406" spans="2:4" ht="12.75" x14ac:dyDescent="0.2">
      <c r="B406" s="4"/>
      <c r="C406" s="4"/>
      <c r="D406" s="5"/>
    </row>
    <row r="407" spans="2:4" ht="12.75" x14ac:dyDescent="0.2">
      <c r="B407" s="4"/>
      <c r="C407" s="4"/>
      <c r="D407" s="5"/>
    </row>
    <row r="408" spans="2:4" ht="12.75" x14ac:dyDescent="0.2">
      <c r="B408" s="4"/>
      <c r="C408" s="4"/>
      <c r="D408" s="5"/>
    </row>
    <row r="409" spans="2:4" ht="12.75" x14ac:dyDescent="0.2">
      <c r="B409" s="4"/>
      <c r="C409" s="4"/>
      <c r="D409" s="5"/>
    </row>
    <row r="410" spans="2:4" ht="12.75" x14ac:dyDescent="0.2">
      <c r="B410" s="4"/>
      <c r="C410" s="4"/>
      <c r="D410" s="5"/>
    </row>
    <row r="411" spans="2:4" ht="12.75" x14ac:dyDescent="0.2">
      <c r="B411" s="4"/>
      <c r="C411" s="4"/>
      <c r="D411" s="5"/>
    </row>
    <row r="412" spans="2:4" ht="12.75" x14ac:dyDescent="0.2">
      <c r="B412" s="4"/>
      <c r="C412" s="4"/>
      <c r="D412" s="5"/>
    </row>
    <row r="413" spans="2:4" ht="12.75" x14ac:dyDescent="0.2">
      <c r="B413" s="4"/>
      <c r="C413" s="4"/>
      <c r="D413" s="5"/>
    </row>
    <row r="414" spans="2:4" ht="12.75" x14ac:dyDescent="0.2">
      <c r="B414" s="4"/>
      <c r="C414" s="4"/>
      <c r="D414" s="5"/>
    </row>
    <row r="415" spans="2:4" ht="12.75" x14ac:dyDescent="0.2">
      <c r="B415" s="4"/>
      <c r="C415" s="4"/>
      <c r="D415" s="5"/>
    </row>
    <row r="416" spans="2:4" ht="12.75" x14ac:dyDescent="0.2">
      <c r="B416" s="4"/>
      <c r="C416" s="4"/>
      <c r="D416" s="5"/>
    </row>
    <row r="417" spans="2:4" ht="12.75" x14ac:dyDescent="0.2">
      <c r="B417" s="4"/>
      <c r="C417" s="4"/>
      <c r="D417" s="5"/>
    </row>
    <row r="418" spans="2:4" ht="12.75" x14ac:dyDescent="0.2">
      <c r="B418" s="4"/>
      <c r="C418" s="4"/>
      <c r="D418" s="5"/>
    </row>
    <row r="419" spans="2:4" ht="12.75" x14ac:dyDescent="0.2">
      <c r="B419" s="4"/>
      <c r="C419" s="4"/>
      <c r="D419" s="5"/>
    </row>
    <row r="420" spans="2:4" ht="12.75" x14ac:dyDescent="0.2">
      <c r="B420" s="4"/>
      <c r="C420" s="4"/>
      <c r="D420" s="5"/>
    </row>
    <row r="421" spans="2:4" ht="12.75" x14ac:dyDescent="0.2">
      <c r="B421" s="4"/>
      <c r="C421" s="4"/>
      <c r="D421" s="5"/>
    </row>
    <row r="422" spans="2:4" ht="12.75" x14ac:dyDescent="0.2">
      <c r="B422" s="4"/>
      <c r="C422" s="4"/>
      <c r="D422" s="5"/>
    </row>
    <row r="423" spans="2:4" ht="12.75" x14ac:dyDescent="0.2">
      <c r="B423" s="4"/>
      <c r="C423" s="4"/>
      <c r="D423" s="5"/>
    </row>
    <row r="424" spans="2:4" ht="12.75" x14ac:dyDescent="0.2">
      <c r="B424" s="4"/>
      <c r="C424" s="4"/>
      <c r="D424" s="5"/>
    </row>
    <row r="425" spans="2:4" ht="12.75" x14ac:dyDescent="0.2">
      <c r="B425" s="4"/>
      <c r="C425" s="4"/>
      <c r="D425" s="5"/>
    </row>
    <row r="426" spans="2:4" ht="12.75" x14ac:dyDescent="0.2">
      <c r="B426" s="4"/>
      <c r="C426" s="4"/>
      <c r="D426" s="5"/>
    </row>
    <row r="427" spans="2:4" ht="12.75" x14ac:dyDescent="0.2">
      <c r="B427" s="4"/>
      <c r="C427" s="4"/>
      <c r="D427" s="5"/>
    </row>
    <row r="428" spans="2:4" ht="12.75" x14ac:dyDescent="0.2">
      <c r="B428" s="4"/>
      <c r="C428" s="4"/>
      <c r="D428" s="5"/>
    </row>
    <row r="429" spans="2:4" ht="12.75" x14ac:dyDescent="0.2">
      <c r="B429" s="4"/>
      <c r="C429" s="4"/>
      <c r="D429" s="5"/>
    </row>
    <row r="430" spans="2:4" ht="12.75" x14ac:dyDescent="0.2">
      <c r="B430" s="4"/>
      <c r="C430" s="4"/>
      <c r="D430" s="5"/>
    </row>
    <row r="431" spans="2:4" ht="12.75" x14ac:dyDescent="0.2">
      <c r="B431" s="4"/>
      <c r="C431" s="4"/>
      <c r="D431" s="5"/>
    </row>
    <row r="432" spans="2:4" ht="12.75" x14ac:dyDescent="0.2">
      <c r="B432" s="4"/>
      <c r="C432" s="4"/>
      <c r="D432" s="5"/>
    </row>
    <row r="433" spans="2:4" ht="12.75" x14ac:dyDescent="0.2">
      <c r="B433" s="4"/>
      <c r="C433" s="4"/>
      <c r="D433" s="5"/>
    </row>
    <row r="434" spans="2:4" ht="12.75" x14ac:dyDescent="0.2">
      <c r="B434" s="4"/>
      <c r="C434" s="4"/>
      <c r="D434" s="5"/>
    </row>
    <row r="435" spans="2:4" ht="12.75" x14ac:dyDescent="0.2">
      <c r="B435" s="4"/>
      <c r="C435" s="4"/>
      <c r="D435" s="5"/>
    </row>
    <row r="436" spans="2:4" ht="12.75" x14ac:dyDescent="0.2">
      <c r="B436" s="4"/>
      <c r="C436" s="4"/>
      <c r="D436" s="5"/>
    </row>
    <row r="437" spans="2:4" ht="12.75" x14ac:dyDescent="0.2">
      <c r="B437" s="4"/>
      <c r="C437" s="4"/>
      <c r="D437" s="5"/>
    </row>
    <row r="438" spans="2:4" ht="12.75" x14ac:dyDescent="0.2">
      <c r="B438" s="4"/>
      <c r="C438" s="4"/>
      <c r="D438" s="5"/>
    </row>
    <row r="439" spans="2:4" ht="12.75" x14ac:dyDescent="0.2">
      <c r="B439" s="4"/>
      <c r="C439" s="4"/>
      <c r="D439" s="5"/>
    </row>
    <row r="440" spans="2:4" ht="12.75" x14ac:dyDescent="0.2">
      <c r="B440" s="4"/>
      <c r="C440" s="4"/>
      <c r="D440" s="5"/>
    </row>
    <row r="441" spans="2:4" ht="12.75" x14ac:dyDescent="0.2">
      <c r="B441" s="4"/>
      <c r="C441" s="4"/>
      <c r="D441" s="5"/>
    </row>
    <row r="442" spans="2:4" ht="12.75" x14ac:dyDescent="0.2">
      <c r="B442" s="4"/>
      <c r="C442" s="4"/>
      <c r="D442" s="5"/>
    </row>
    <row r="443" spans="2:4" ht="12.75" x14ac:dyDescent="0.2">
      <c r="B443" s="4"/>
      <c r="C443" s="4"/>
      <c r="D443" s="5"/>
    </row>
    <row r="444" spans="2:4" ht="12.75" x14ac:dyDescent="0.2">
      <c r="B444" s="4"/>
      <c r="C444" s="4"/>
      <c r="D444" s="5"/>
    </row>
    <row r="445" spans="2:4" ht="12.75" x14ac:dyDescent="0.2">
      <c r="B445" s="4"/>
      <c r="C445" s="4"/>
      <c r="D445" s="5"/>
    </row>
    <row r="446" spans="2:4" ht="12.75" x14ac:dyDescent="0.2">
      <c r="B446" s="4"/>
      <c r="C446" s="4"/>
      <c r="D446" s="5"/>
    </row>
    <row r="447" spans="2:4" ht="12.75" x14ac:dyDescent="0.2">
      <c r="B447" s="4"/>
      <c r="C447" s="4"/>
      <c r="D447" s="5"/>
    </row>
    <row r="448" spans="2:4" ht="12.75" x14ac:dyDescent="0.2">
      <c r="B448" s="4"/>
      <c r="C448" s="4"/>
      <c r="D448" s="5"/>
    </row>
    <row r="449" spans="2:4" ht="12.75" x14ac:dyDescent="0.2">
      <c r="B449" s="4"/>
      <c r="C449" s="4"/>
      <c r="D449" s="5"/>
    </row>
    <row r="450" spans="2:4" ht="12.75" x14ac:dyDescent="0.2">
      <c r="B450" s="4"/>
      <c r="C450" s="4"/>
      <c r="D450" s="5"/>
    </row>
    <row r="451" spans="2:4" ht="12.75" x14ac:dyDescent="0.2">
      <c r="B451" s="4"/>
      <c r="C451" s="4"/>
      <c r="D451" s="5"/>
    </row>
    <row r="452" spans="2:4" ht="12.75" x14ac:dyDescent="0.2">
      <c r="B452" s="4"/>
      <c r="C452" s="4"/>
      <c r="D452" s="5"/>
    </row>
    <row r="453" spans="2:4" ht="12.75" x14ac:dyDescent="0.2">
      <c r="B453" s="4"/>
      <c r="C453" s="4"/>
      <c r="D453" s="5"/>
    </row>
    <row r="454" spans="2:4" ht="12.75" x14ac:dyDescent="0.2">
      <c r="B454" s="4"/>
      <c r="C454" s="4"/>
      <c r="D454" s="5"/>
    </row>
    <row r="455" spans="2:4" ht="12.75" x14ac:dyDescent="0.2">
      <c r="B455" s="4"/>
      <c r="C455" s="4"/>
      <c r="D455" s="5"/>
    </row>
    <row r="456" spans="2:4" ht="12.75" x14ac:dyDescent="0.2">
      <c r="B456" s="4"/>
      <c r="C456" s="4"/>
      <c r="D456" s="5"/>
    </row>
    <row r="457" spans="2:4" ht="12.75" x14ac:dyDescent="0.2">
      <c r="B457" s="4"/>
      <c r="C457" s="4"/>
      <c r="D457" s="5"/>
    </row>
    <row r="458" spans="2:4" ht="12.75" x14ac:dyDescent="0.2">
      <c r="B458" s="4"/>
      <c r="C458" s="4"/>
      <c r="D458" s="5"/>
    </row>
    <row r="459" spans="2:4" ht="12.75" x14ac:dyDescent="0.2">
      <c r="B459" s="4"/>
      <c r="C459" s="4"/>
      <c r="D459" s="5"/>
    </row>
    <row r="460" spans="2:4" ht="12.75" x14ac:dyDescent="0.2">
      <c r="B460" s="4"/>
      <c r="C460" s="4"/>
      <c r="D460" s="5"/>
    </row>
    <row r="461" spans="2:4" ht="12.75" x14ac:dyDescent="0.2">
      <c r="B461" s="4"/>
      <c r="C461" s="4"/>
      <c r="D461" s="5"/>
    </row>
    <row r="462" spans="2:4" ht="12.75" x14ac:dyDescent="0.2">
      <c r="B462" s="4"/>
      <c r="C462" s="4"/>
      <c r="D462" s="5"/>
    </row>
    <row r="463" spans="2:4" ht="12.75" x14ac:dyDescent="0.2">
      <c r="B463" s="4"/>
      <c r="C463" s="4"/>
      <c r="D463" s="5"/>
    </row>
    <row r="464" spans="2:4" ht="12.75" x14ac:dyDescent="0.2">
      <c r="B464" s="4"/>
      <c r="C464" s="4"/>
      <c r="D464" s="5"/>
    </row>
    <row r="465" spans="2:4" ht="12.75" x14ac:dyDescent="0.2">
      <c r="B465" s="4"/>
      <c r="C465" s="4"/>
      <c r="D465" s="5"/>
    </row>
    <row r="466" spans="2:4" ht="12.75" x14ac:dyDescent="0.2">
      <c r="B466" s="4"/>
      <c r="C466" s="4"/>
      <c r="D466" s="5"/>
    </row>
    <row r="467" spans="2:4" ht="12.75" x14ac:dyDescent="0.2">
      <c r="B467" s="4"/>
      <c r="C467" s="4"/>
      <c r="D467" s="5"/>
    </row>
    <row r="468" spans="2:4" ht="12.75" x14ac:dyDescent="0.2">
      <c r="B468" s="4"/>
      <c r="C468" s="4"/>
      <c r="D468" s="5"/>
    </row>
    <row r="469" spans="2:4" ht="12.75" x14ac:dyDescent="0.2">
      <c r="B469" s="4"/>
      <c r="C469" s="4"/>
      <c r="D469" s="5"/>
    </row>
    <row r="470" spans="2:4" ht="12.75" x14ac:dyDescent="0.2">
      <c r="B470" s="4"/>
      <c r="C470" s="4"/>
      <c r="D470" s="5"/>
    </row>
    <row r="471" spans="2:4" ht="12.75" x14ac:dyDescent="0.2">
      <c r="B471" s="4"/>
      <c r="C471" s="4"/>
      <c r="D471" s="5"/>
    </row>
    <row r="472" spans="2:4" ht="12.75" x14ac:dyDescent="0.2">
      <c r="B472" s="4"/>
      <c r="C472" s="4"/>
      <c r="D472" s="5"/>
    </row>
    <row r="473" spans="2:4" ht="12.75" x14ac:dyDescent="0.2">
      <c r="B473" s="4"/>
      <c r="C473" s="4"/>
      <c r="D473" s="5"/>
    </row>
    <row r="474" spans="2:4" ht="12.75" x14ac:dyDescent="0.2">
      <c r="B474" s="4"/>
      <c r="C474" s="4"/>
      <c r="D474" s="5"/>
    </row>
    <row r="475" spans="2:4" ht="12.75" x14ac:dyDescent="0.2">
      <c r="B475" s="4"/>
      <c r="C475" s="4"/>
      <c r="D475" s="5"/>
    </row>
    <row r="476" spans="2:4" ht="12.75" x14ac:dyDescent="0.2">
      <c r="B476" s="4"/>
      <c r="C476" s="4"/>
      <c r="D476" s="5"/>
    </row>
    <row r="477" spans="2:4" ht="12.75" x14ac:dyDescent="0.2">
      <c r="B477" s="4"/>
      <c r="C477" s="4"/>
      <c r="D477" s="5"/>
    </row>
    <row r="478" spans="2:4" ht="12.75" x14ac:dyDescent="0.2">
      <c r="B478" s="4"/>
      <c r="C478" s="4"/>
      <c r="D478" s="5"/>
    </row>
    <row r="479" spans="2:4" ht="12.75" x14ac:dyDescent="0.2">
      <c r="B479" s="4"/>
      <c r="C479" s="4"/>
      <c r="D479" s="5"/>
    </row>
    <row r="480" spans="2:4" ht="12.75" x14ac:dyDescent="0.2">
      <c r="B480" s="4"/>
      <c r="C480" s="4"/>
      <c r="D480" s="5"/>
    </row>
    <row r="481" spans="2:4" ht="12.75" x14ac:dyDescent="0.2">
      <c r="B481" s="4"/>
      <c r="C481" s="4"/>
      <c r="D481" s="5"/>
    </row>
    <row r="482" spans="2:4" ht="12.75" x14ac:dyDescent="0.2">
      <c r="B482" s="4"/>
      <c r="C482" s="4"/>
      <c r="D482" s="5"/>
    </row>
    <row r="483" spans="2:4" ht="12.75" x14ac:dyDescent="0.2">
      <c r="B483" s="4"/>
      <c r="C483" s="4"/>
      <c r="D483" s="5"/>
    </row>
    <row r="484" spans="2:4" ht="12.75" x14ac:dyDescent="0.2">
      <c r="B484" s="4"/>
      <c r="C484" s="4"/>
      <c r="D484" s="5"/>
    </row>
    <row r="485" spans="2:4" ht="12.75" x14ac:dyDescent="0.2">
      <c r="B485" s="4"/>
      <c r="C485" s="4"/>
      <c r="D485" s="5"/>
    </row>
    <row r="486" spans="2:4" ht="12.75" x14ac:dyDescent="0.2">
      <c r="B486" s="4"/>
      <c r="C486" s="4"/>
      <c r="D486" s="5"/>
    </row>
    <row r="487" spans="2:4" ht="12.75" x14ac:dyDescent="0.2">
      <c r="B487" s="4"/>
      <c r="C487" s="4"/>
      <c r="D487" s="5"/>
    </row>
    <row r="488" spans="2:4" ht="12.75" x14ac:dyDescent="0.2">
      <c r="B488" s="4"/>
      <c r="C488" s="4"/>
      <c r="D488" s="5"/>
    </row>
    <row r="489" spans="2:4" ht="12.75" x14ac:dyDescent="0.2">
      <c r="B489" s="4"/>
      <c r="C489" s="4"/>
      <c r="D489" s="5"/>
    </row>
    <row r="490" spans="2:4" ht="12.75" x14ac:dyDescent="0.2">
      <c r="B490" s="4"/>
      <c r="C490" s="4"/>
      <c r="D490" s="5"/>
    </row>
    <row r="491" spans="2:4" ht="12.75" x14ac:dyDescent="0.2">
      <c r="B491" s="4"/>
      <c r="C491" s="4"/>
      <c r="D491" s="5"/>
    </row>
    <row r="492" spans="2:4" ht="12.75" x14ac:dyDescent="0.2">
      <c r="B492" s="4"/>
      <c r="C492" s="4"/>
      <c r="D492" s="5"/>
    </row>
    <row r="493" spans="2:4" ht="12.75" x14ac:dyDescent="0.2">
      <c r="B493" s="4"/>
      <c r="C493" s="4"/>
      <c r="D493" s="5"/>
    </row>
    <row r="494" spans="2:4" ht="12.75" x14ac:dyDescent="0.2">
      <c r="B494" s="4"/>
      <c r="C494" s="4"/>
      <c r="D494" s="5"/>
    </row>
    <row r="495" spans="2:4" ht="12.75" x14ac:dyDescent="0.2">
      <c r="B495" s="4"/>
      <c r="C495" s="4"/>
      <c r="D495" s="5"/>
    </row>
    <row r="496" spans="2:4" ht="12.75" x14ac:dyDescent="0.2">
      <c r="B496" s="4"/>
      <c r="C496" s="4"/>
      <c r="D496" s="5"/>
    </row>
    <row r="497" spans="2:4" ht="12.75" x14ac:dyDescent="0.2">
      <c r="B497" s="4"/>
      <c r="C497" s="4"/>
      <c r="D497" s="5"/>
    </row>
    <row r="498" spans="2:4" ht="12.75" x14ac:dyDescent="0.2">
      <c r="B498" s="4"/>
      <c r="C498" s="4"/>
      <c r="D498" s="5"/>
    </row>
    <row r="499" spans="2:4" ht="12.75" x14ac:dyDescent="0.2">
      <c r="B499" s="4"/>
      <c r="C499" s="4"/>
      <c r="D499" s="5"/>
    </row>
    <row r="500" spans="2:4" ht="12.75" x14ac:dyDescent="0.2">
      <c r="B500" s="4"/>
      <c r="C500" s="4"/>
      <c r="D500" s="5"/>
    </row>
    <row r="501" spans="2:4" ht="12.75" x14ac:dyDescent="0.2">
      <c r="B501" s="4"/>
      <c r="C501" s="4"/>
      <c r="D501" s="5"/>
    </row>
    <row r="502" spans="2:4" ht="12.75" x14ac:dyDescent="0.2">
      <c r="B502" s="4"/>
      <c r="C502" s="4"/>
      <c r="D502" s="5"/>
    </row>
    <row r="503" spans="2:4" ht="12.75" x14ac:dyDescent="0.2">
      <c r="B503" s="4"/>
      <c r="C503" s="4"/>
      <c r="D503" s="5"/>
    </row>
    <row r="504" spans="2:4" ht="12.75" x14ac:dyDescent="0.2">
      <c r="B504" s="4"/>
      <c r="C504" s="4"/>
      <c r="D504" s="5"/>
    </row>
    <row r="505" spans="2:4" ht="12.75" x14ac:dyDescent="0.2">
      <c r="B505" s="4"/>
      <c r="C505" s="4"/>
      <c r="D505" s="5"/>
    </row>
    <row r="506" spans="2:4" ht="12.75" x14ac:dyDescent="0.2">
      <c r="B506" s="4"/>
      <c r="C506" s="4"/>
      <c r="D506" s="5"/>
    </row>
    <row r="507" spans="2:4" ht="12.75" x14ac:dyDescent="0.2">
      <c r="B507" s="4"/>
      <c r="C507" s="4"/>
      <c r="D507" s="5"/>
    </row>
    <row r="508" spans="2:4" ht="12.75" x14ac:dyDescent="0.2">
      <c r="B508" s="4"/>
      <c r="C508" s="4"/>
      <c r="D508" s="5"/>
    </row>
    <row r="509" spans="2:4" ht="12.75" x14ac:dyDescent="0.2">
      <c r="B509" s="4"/>
      <c r="C509" s="4"/>
      <c r="D509" s="5"/>
    </row>
    <row r="510" spans="2:4" ht="12.75" x14ac:dyDescent="0.2">
      <c r="B510" s="4"/>
      <c r="C510" s="4"/>
      <c r="D510" s="5"/>
    </row>
    <row r="511" spans="2:4" ht="12.75" x14ac:dyDescent="0.2">
      <c r="B511" s="4"/>
      <c r="C511" s="4"/>
      <c r="D511" s="5"/>
    </row>
    <row r="512" spans="2:4" ht="12.75" x14ac:dyDescent="0.2">
      <c r="B512" s="4"/>
      <c r="C512" s="4"/>
      <c r="D512" s="5"/>
    </row>
    <row r="513" spans="2:4" ht="12.75" x14ac:dyDescent="0.2">
      <c r="B513" s="4"/>
      <c r="C513" s="4"/>
      <c r="D513" s="5"/>
    </row>
    <row r="514" spans="2:4" ht="12.75" x14ac:dyDescent="0.2">
      <c r="B514" s="4"/>
      <c r="C514" s="4"/>
      <c r="D514" s="5"/>
    </row>
    <row r="515" spans="2:4" ht="12.75" x14ac:dyDescent="0.2">
      <c r="B515" s="4"/>
      <c r="C515" s="4"/>
      <c r="D515" s="5"/>
    </row>
    <row r="516" spans="2:4" ht="12.75" x14ac:dyDescent="0.2">
      <c r="B516" s="4"/>
      <c r="C516" s="4"/>
      <c r="D516" s="5"/>
    </row>
    <row r="517" spans="2:4" ht="12.75" x14ac:dyDescent="0.2">
      <c r="B517" s="4"/>
      <c r="C517" s="4"/>
      <c r="D517" s="5"/>
    </row>
    <row r="518" spans="2:4" ht="12.75" x14ac:dyDescent="0.2">
      <c r="B518" s="4"/>
      <c r="C518" s="4"/>
      <c r="D518" s="5"/>
    </row>
    <row r="519" spans="2:4" ht="12.75" x14ac:dyDescent="0.2">
      <c r="B519" s="4"/>
      <c r="C519" s="4"/>
      <c r="D519" s="5"/>
    </row>
    <row r="520" spans="2:4" ht="12.75" x14ac:dyDescent="0.2">
      <c r="B520" s="4"/>
      <c r="C520" s="4"/>
      <c r="D520" s="5"/>
    </row>
    <row r="521" spans="2:4" ht="12.75" x14ac:dyDescent="0.2">
      <c r="B521" s="4"/>
      <c r="C521" s="4"/>
      <c r="D521" s="5"/>
    </row>
    <row r="522" spans="2:4" ht="12.75" x14ac:dyDescent="0.2">
      <c r="B522" s="4"/>
      <c r="C522" s="4"/>
      <c r="D522" s="5"/>
    </row>
    <row r="523" spans="2:4" ht="12.75" x14ac:dyDescent="0.2">
      <c r="B523" s="4"/>
      <c r="C523" s="4"/>
      <c r="D523" s="5"/>
    </row>
    <row r="524" spans="2:4" ht="12.75" x14ac:dyDescent="0.2">
      <c r="B524" s="4"/>
      <c r="C524" s="4"/>
      <c r="D524" s="5"/>
    </row>
    <row r="525" spans="2:4" ht="12.75" x14ac:dyDescent="0.2">
      <c r="B525" s="4"/>
      <c r="C525" s="4"/>
      <c r="D525" s="5"/>
    </row>
    <row r="526" spans="2:4" ht="12.75" x14ac:dyDescent="0.2">
      <c r="B526" s="4"/>
      <c r="C526" s="4"/>
      <c r="D526" s="5"/>
    </row>
    <row r="527" spans="2:4" ht="12.75" x14ac:dyDescent="0.2">
      <c r="B527" s="4"/>
      <c r="C527" s="4"/>
      <c r="D527" s="5"/>
    </row>
    <row r="528" spans="2:4" ht="12.75" x14ac:dyDescent="0.2">
      <c r="B528" s="4"/>
      <c r="C528" s="4"/>
      <c r="D528" s="5"/>
    </row>
    <row r="529" spans="2:4" ht="12.75" x14ac:dyDescent="0.2">
      <c r="B529" s="4"/>
      <c r="C529" s="4"/>
      <c r="D529" s="5"/>
    </row>
    <row r="530" spans="2:4" ht="12.75" x14ac:dyDescent="0.2">
      <c r="B530" s="4"/>
      <c r="C530" s="4"/>
      <c r="D530" s="5"/>
    </row>
    <row r="531" spans="2:4" ht="12.75" x14ac:dyDescent="0.2">
      <c r="B531" s="4"/>
      <c r="C531" s="4"/>
      <c r="D531" s="5"/>
    </row>
    <row r="532" spans="2:4" ht="12.75" x14ac:dyDescent="0.2">
      <c r="B532" s="4"/>
      <c r="C532" s="4"/>
      <c r="D532" s="5"/>
    </row>
    <row r="533" spans="2:4" ht="12.75" x14ac:dyDescent="0.2">
      <c r="B533" s="4"/>
      <c r="C533" s="4"/>
      <c r="D533" s="5"/>
    </row>
    <row r="534" spans="2:4" ht="12.75" x14ac:dyDescent="0.2">
      <c r="B534" s="4"/>
      <c r="C534" s="4"/>
      <c r="D534" s="5"/>
    </row>
    <row r="535" spans="2:4" ht="12.75" x14ac:dyDescent="0.2">
      <c r="B535" s="4"/>
      <c r="C535" s="4"/>
      <c r="D535" s="5"/>
    </row>
    <row r="536" spans="2:4" ht="12.75" x14ac:dyDescent="0.2">
      <c r="B536" s="4"/>
      <c r="C536" s="4"/>
      <c r="D536" s="5"/>
    </row>
    <row r="537" spans="2:4" ht="12.75" x14ac:dyDescent="0.2">
      <c r="B537" s="4"/>
      <c r="C537" s="4"/>
      <c r="D537" s="5"/>
    </row>
    <row r="538" spans="2:4" ht="12.75" x14ac:dyDescent="0.2">
      <c r="B538" s="4"/>
      <c r="C538" s="4"/>
      <c r="D538" s="5"/>
    </row>
    <row r="539" spans="2:4" ht="12.75" x14ac:dyDescent="0.2">
      <c r="B539" s="4"/>
      <c r="C539" s="4"/>
      <c r="D539" s="5"/>
    </row>
    <row r="540" spans="2:4" ht="12.75" x14ac:dyDescent="0.2">
      <c r="B540" s="4"/>
      <c r="C540" s="4"/>
      <c r="D540" s="5"/>
    </row>
    <row r="541" spans="2:4" ht="12.75" x14ac:dyDescent="0.2">
      <c r="B541" s="4"/>
      <c r="C541" s="4"/>
      <c r="D541" s="5"/>
    </row>
    <row r="542" spans="2:4" ht="12.75" x14ac:dyDescent="0.2">
      <c r="B542" s="4"/>
      <c r="C542" s="4"/>
      <c r="D542" s="5"/>
    </row>
    <row r="543" spans="2:4" ht="12.75" x14ac:dyDescent="0.2">
      <c r="B543" s="4"/>
      <c r="C543" s="4"/>
      <c r="D543" s="5"/>
    </row>
    <row r="544" spans="2:4" ht="12.75" x14ac:dyDescent="0.2">
      <c r="B544" s="4"/>
      <c r="C544" s="4"/>
      <c r="D544" s="5"/>
    </row>
    <row r="545" spans="2:4" ht="12.75" x14ac:dyDescent="0.2">
      <c r="B545" s="4"/>
      <c r="C545" s="4"/>
      <c r="D545" s="5"/>
    </row>
    <row r="546" spans="2:4" ht="12.75" x14ac:dyDescent="0.2">
      <c r="B546" s="4"/>
      <c r="C546" s="4"/>
      <c r="D546" s="5"/>
    </row>
    <row r="547" spans="2:4" ht="12.75" x14ac:dyDescent="0.2">
      <c r="B547" s="4"/>
      <c r="C547" s="4"/>
      <c r="D547" s="5"/>
    </row>
    <row r="548" spans="2:4" ht="12.75" x14ac:dyDescent="0.2">
      <c r="B548" s="4"/>
      <c r="C548" s="4"/>
      <c r="D548" s="5"/>
    </row>
    <row r="549" spans="2:4" ht="12.75" x14ac:dyDescent="0.2">
      <c r="B549" s="4"/>
      <c r="C549" s="4"/>
      <c r="D549" s="5"/>
    </row>
    <row r="550" spans="2:4" ht="12.75" x14ac:dyDescent="0.2">
      <c r="B550" s="4"/>
      <c r="C550" s="4"/>
      <c r="D550" s="5"/>
    </row>
    <row r="551" spans="2:4" ht="12.75" x14ac:dyDescent="0.2">
      <c r="B551" s="4"/>
      <c r="C551" s="4"/>
      <c r="D551" s="5"/>
    </row>
    <row r="552" spans="2:4" ht="12.75" x14ac:dyDescent="0.2">
      <c r="B552" s="4"/>
      <c r="C552" s="4"/>
      <c r="D552" s="5"/>
    </row>
    <row r="553" spans="2:4" ht="12.75" x14ac:dyDescent="0.2">
      <c r="B553" s="4"/>
      <c r="C553" s="4"/>
      <c r="D553" s="5"/>
    </row>
    <row r="554" spans="2:4" ht="12.75" x14ac:dyDescent="0.2">
      <c r="B554" s="4"/>
      <c r="C554" s="4"/>
      <c r="D554" s="5"/>
    </row>
    <row r="555" spans="2:4" ht="12.75" x14ac:dyDescent="0.2">
      <c r="B555" s="4"/>
      <c r="C555" s="4"/>
      <c r="D555" s="5"/>
    </row>
    <row r="556" spans="2:4" ht="12.75" x14ac:dyDescent="0.2">
      <c r="B556" s="4"/>
      <c r="C556" s="4"/>
      <c r="D556" s="5"/>
    </row>
    <row r="557" spans="2:4" ht="12.75" x14ac:dyDescent="0.2">
      <c r="B557" s="4"/>
      <c r="C557" s="4"/>
      <c r="D557" s="5"/>
    </row>
    <row r="558" spans="2:4" ht="12.75" x14ac:dyDescent="0.2">
      <c r="B558" s="4"/>
      <c r="C558" s="4"/>
      <c r="D558" s="5"/>
    </row>
    <row r="559" spans="2:4" ht="12.75" x14ac:dyDescent="0.2">
      <c r="B559" s="4"/>
      <c r="C559" s="4"/>
      <c r="D559" s="5"/>
    </row>
    <row r="560" spans="2:4" ht="12.75" x14ac:dyDescent="0.2">
      <c r="B560" s="4"/>
      <c r="C560" s="4"/>
      <c r="D560" s="5"/>
    </row>
    <row r="561" spans="2:4" ht="12.75" x14ac:dyDescent="0.2">
      <c r="B561" s="4"/>
      <c r="C561" s="4"/>
      <c r="D561" s="5"/>
    </row>
    <row r="562" spans="2:4" ht="12.75" x14ac:dyDescent="0.2">
      <c r="B562" s="4"/>
      <c r="C562" s="4"/>
      <c r="D562" s="5"/>
    </row>
    <row r="563" spans="2:4" ht="12.75" x14ac:dyDescent="0.2">
      <c r="B563" s="4"/>
      <c r="C563" s="4"/>
      <c r="D563" s="5"/>
    </row>
    <row r="564" spans="2:4" ht="12.75" x14ac:dyDescent="0.2">
      <c r="B564" s="4"/>
      <c r="C564" s="4"/>
      <c r="D564" s="5"/>
    </row>
    <row r="565" spans="2:4" ht="12.75" x14ac:dyDescent="0.2">
      <c r="B565" s="4"/>
      <c r="C565" s="4"/>
      <c r="D565" s="5"/>
    </row>
    <row r="566" spans="2:4" ht="12.75" x14ac:dyDescent="0.2">
      <c r="B566" s="4"/>
      <c r="C566" s="4"/>
      <c r="D566" s="5"/>
    </row>
    <row r="567" spans="2:4" ht="12.75" x14ac:dyDescent="0.2">
      <c r="B567" s="4"/>
      <c r="C567" s="4"/>
      <c r="D567" s="5"/>
    </row>
    <row r="568" spans="2:4" ht="12.75" x14ac:dyDescent="0.2">
      <c r="B568" s="4"/>
      <c r="C568" s="4"/>
      <c r="D568" s="5"/>
    </row>
    <row r="569" spans="2:4" ht="12.75" x14ac:dyDescent="0.2">
      <c r="B569" s="4"/>
      <c r="C569" s="4"/>
      <c r="D569" s="5"/>
    </row>
    <row r="570" spans="2:4" ht="12.75" x14ac:dyDescent="0.2">
      <c r="B570" s="4"/>
      <c r="C570" s="4"/>
      <c r="D570" s="5"/>
    </row>
    <row r="571" spans="2:4" ht="12.75" x14ac:dyDescent="0.2">
      <c r="B571" s="4"/>
      <c r="C571" s="4"/>
      <c r="D571" s="5"/>
    </row>
    <row r="572" spans="2:4" ht="12.75" x14ac:dyDescent="0.2">
      <c r="B572" s="4"/>
      <c r="C572" s="4"/>
      <c r="D572" s="5"/>
    </row>
    <row r="573" spans="2:4" ht="12.75" x14ac:dyDescent="0.2">
      <c r="B573" s="4"/>
      <c r="C573" s="4"/>
      <c r="D573" s="5"/>
    </row>
    <row r="574" spans="2:4" ht="12.75" x14ac:dyDescent="0.2">
      <c r="B574" s="4"/>
      <c r="C574" s="4"/>
      <c r="D574" s="5"/>
    </row>
    <row r="575" spans="2:4" ht="12.75" x14ac:dyDescent="0.2">
      <c r="B575" s="4"/>
      <c r="C575" s="4"/>
      <c r="D575" s="5"/>
    </row>
    <row r="576" spans="2:4" ht="12.75" x14ac:dyDescent="0.2">
      <c r="B576" s="4"/>
      <c r="C576" s="4"/>
      <c r="D576" s="5"/>
    </row>
    <row r="577" spans="2:4" ht="12.75" x14ac:dyDescent="0.2">
      <c r="B577" s="4"/>
      <c r="C577" s="4"/>
      <c r="D577" s="5"/>
    </row>
    <row r="578" spans="2:4" ht="12.75" x14ac:dyDescent="0.2">
      <c r="B578" s="4"/>
      <c r="C578" s="4"/>
      <c r="D578" s="5"/>
    </row>
    <row r="579" spans="2:4" ht="12.75" x14ac:dyDescent="0.2">
      <c r="B579" s="4"/>
      <c r="C579" s="4"/>
      <c r="D579" s="5"/>
    </row>
    <row r="580" spans="2:4" ht="12.75" x14ac:dyDescent="0.2">
      <c r="B580" s="4"/>
      <c r="C580" s="4"/>
      <c r="D580" s="5"/>
    </row>
    <row r="581" spans="2:4" ht="12.75" x14ac:dyDescent="0.2">
      <c r="B581" s="4"/>
      <c r="C581" s="4"/>
      <c r="D581" s="5"/>
    </row>
    <row r="582" spans="2:4" ht="12.75" x14ac:dyDescent="0.2">
      <c r="B582" s="4"/>
      <c r="C582" s="4"/>
      <c r="D582" s="5"/>
    </row>
    <row r="583" spans="2:4" ht="12.75" x14ac:dyDescent="0.2">
      <c r="B583" s="4"/>
      <c r="C583" s="4"/>
      <c r="D583" s="5"/>
    </row>
    <row r="584" spans="2:4" ht="12.75" x14ac:dyDescent="0.2">
      <c r="B584" s="4"/>
      <c r="C584" s="4"/>
      <c r="D584" s="5"/>
    </row>
    <row r="585" spans="2:4" ht="12.75" x14ac:dyDescent="0.2">
      <c r="B585" s="4"/>
      <c r="C585" s="4"/>
      <c r="D585" s="5"/>
    </row>
    <row r="586" spans="2:4" ht="12.75" x14ac:dyDescent="0.2">
      <c r="B586" s="4"/>
      <c r="C586" s="4"/>
      <c r="D586" s="5"/>
    </row>
    <row r="587" spans="2:4" ht="12.75" x14ac:dyDescent="0.2">
      <c r="B587" s="4"/>
      <c r="C587" s="4"/>
      <c r="D587" s="5"/>
    </row>
    <row r="588" spans="2:4" ht="12.75" x14ac:dyDescent="0.2">
      <c r="B588" s="4"/>
      <c r="C588" s="4"/>
      <c r="D588" s="5"/>
    </row>
    <row r="589" spans="2:4" ht="12.75" x14ac:dyDescent="0.2">
      <c r="B589" s="4"/>
      <c r="C589" s="4"/>
      <c r="D589" s="5"/>
    </row>
    <row r="590" spans="2:4" ht="12.75" x14ac:dyDescent="0.2">
      <c r="B590" s="4"/>
      <c r="C590" s="4"/>
      <c r="D590" s="5"/>
    </row>
    <row r="591" spans="2:4" ht="12.75" x14ac:dyDescent="0.2">
      <c r="B591" s="4"/>
      <c r="C591" s="4"/>
      <c r="D591" s="5"/>
    </row>
    <row r="592" spans="2:4" ht="12.75" x14ac:dyDescent="0.2">
      <c r="B592" s="4"/>
      <c r="C592" s="4"/>
      <c r="D592" s="5"/>
    </row>
    <row r="593" spans="2:4" ht="12.75" x14ac:dyDescent="0.2">
      <c r="B593" s="4"/>
      <c r="C593" s="4"/>
      <c r="D593" s="5"/>
    </row>
    <row r="594" spans="2:4" ht="12.75" x14ac:dyDescent="0.2">
      <c r="B594" s="4"/>
      <c r="C594" s="4"/>
      <c r="D594" s="5"/>
    </row>
    <row r="595" spans="2:4" ht="12.75" x14ac:dyDescent="0.2">
      <c r="B595" s="4"/>
      <c r="C595" s="4"/>
      <c r="D595" s="5"/>
    </row>
    <row r="596" spans="2:4" ht="12.75" x14ac:dyDescent="0.2">
      <c r="B596" s="4"/>
      <c r="C596" s="4"/>
      <c r="D596" s="5"/>
    </row>
    <row r="597" spans="2:4" ht="12.75" x14ac:dyDescent="0.2">
      <c r="B597" s="4"/>
      <c r="C597" s="4"/>
      <c r="D597" s="5"/>
    </row>
    <row r="598" spans="2:4" ht="12.75" x14ac:dyDescent="0.2">
      <c r="B598" s="4"/>
      <c r="C598" s="4"/>
      <c r="D598" s="5"/>
    </row>
    <row r="599" spans="2:4" ht="12.75" x14ac:dyDescent="0.2">
      <c r="B599" s="4"/>
      <c r="C599" s="4"/>
      <c r="D599" s="5"/>
    </row>
    <row r="600" spans="2:4" ht="12.75" x14ac:dyDescent="0.2">
      <c r="B600" s="4"/>
      <c r="C600" s="4"/>
      <c r="D600" s="5"/>
    </row>
    <row r="601" spans="2:4" ht="12.75" x14ac:dyDescent="0.2">
      <c r="B601" s="4"/>
      <c r="C601" s="4"/>
      <c r="D601" s="5"/>
    </row>
    <row r="602" spans="2:4" ht="12.75" x14ac:dyDescent="0.2">
      <c r="B602" s="4"/>
      <c r="C602" s="4"/>
      <c r="D602" s="5"/>
    </row>
    <row r="603" spans="2:4" ht="12.75" x14ac:dyDescent="0.2">
      <c r="B603" s="4"/>
      <c r="C603" s="4"/>
      <c r="D603" s="5"/>
    </row>
    <row r="604" spans="2:4" ht="12.75" x14ac:dyDescent="0.2">
      <c r="B604" s="4"/>
      <c r="C604" s="4"/>
      <c r="D604" s="5"/>
    </row>
    <row r="605" spans="2:4" ht="12.75" x14ac:dyDescent="0.2">
      <c r="B605" s="4"/>
      <c r="C605" s="4"/>
      <c r="D605" s="5"/>
    </row>
    <row r="606" spans="2:4" ht="12.75" x14ac:dyDescent="0.2">
      <c r="B606" s="4"/>
      <c r="C606" s="4"/>
      <c r="D606" s="5"/>
    </row>
    <row r="607" spans="2:4" ht="12.75" x14ac:dyDescent="0.2">
      <c r="B607" s="4"/>
      <c r="C607" s="4"/>
      <c r="D607" s="5"/>
    </row>
    <row r="608" spans="2:4" ht="12.75" x14ac:dyDescent="0.2">
      <c r="B608" s="4"/>
      <c r="C608" s="4"/>
      <c r="D608" s="5"/>
    </row>
    <row r="609" spans="2:4" ht="12.75" x14ac:dyDescent="0.2">
      <c r="B609" s="4"/>
      <c r="C609" s="4"/>
      <c r="D609" s="5"/>
    </row>
    <row r="610" spans="2:4" ht="12.75" x14ac:dyDescent="0.2">
      <c r="B610" s="4"/>
      <c r="C610" s="4"/>
      <c r="D610" s="5"/>
    </row>
    <row r="611" spans="2:4" ht="12.75" x14ac:dyDescent="0.2">
      <c r="B611" s="4"/>
      <c r="C611" s="4"/>
      <c r="D611" s="5"/>
    </row>
    <row r="612" spans="2:4" ht="12.75" x14ac:dyDescent="0.2">
      <c r="B612" s="4"/>
      <c r="C612" s="4"/>
      <c r="D612" s="5"/>
    </row>
    <row r="613" spans="2:4" ht="12.75" x14ac:dyDescent="0.2">
      <c r="B613" s="4"/>
      <c r="C613" s="4"/>
      <c r="D613" s="5"/>
    </row>
    <row r="614" spans="2:4" ht="12.75" x14ac:dyDescent="0.2">
      <c r="B614" s="4"/>
      <c r="C614" s="4"/>
      <c r="D614" s="5"/>
    </row>
    <row r="615" spans="2:4" ht="12.75" x14ac:dyDescent="0.2">
      <c r="B615" s="4"/>
      <c r="C615" s="4"/>
      <c r="D615" s="5"/>
    </row>
    <row r="616" spans="2:4" ht="12.75" x14ac:dyDescent="0.2">
      <c r="B616" s="4"/>
      <c r="C616" s="4"/>
      <c r="D616" s="5"/>
    </row>
    <row r="617" spans="2:4" ht="12.75" x14ac:dyDescent="0.2">
      <c r="B617" s="4"/>
      <c r="C617" s="4"/>
      <c r="D617" s="5"/>
    </row>
    <row r="618" spans="2:4" ht="12.75" x14ac:dyDescent="0.2">
      <c r="B618" s="4"/>
      <c r="C618" s="4"/>
      <c r="D618" s="5"/>
    </row>
    <row r="619" spans="2:4" ht="12.75" x14ac:dyDescent="0.2">
      <c r="B619" s="4"/>
      <c r="C619" s="4"/>
      <c r="D619" s="5"/>
    </row>
    <row r="620" spans="2:4" ht="12.75" x14ac:dyDescent="0.2">
      <c r="B620" s="4"/>
      <c r="C620" s="4"/>
      <c r="D620" s="5"/>
    </row>
    <row r="621" spans="2:4" ht="12.75" x14ac:dyDescent="0.2">
      <c r="B621" s="4"/>
      <c r="C621" s="4"/>
      <c r="D621" s="5"/>
    </row>
    <row r="622" spans="2:4" ht="12.75" x14ac:dyDescent="0.2">
      <c r="B622" s="4"/>
      <c r="C622" s="4"/>
      <c r="D622" s="5"/>
    </row>
    <row r="623" spans="2:4" ht="12.75" x14ac:dyDescent="0.2">
      <c r="B623" s="4"/>
      <c r="C623" s="4"/>
      <c r="D623" s="5"/>
    </row>
    <row r="624" spans="2:4" ht="12.75" x14ac:dyDescent="0.2">
      <c r="B624" s="4"/>
      <c r="C624" s="4"/>
      <c r="D624" s="5"/>
    </row>
    <row r="625" spans="2:4" ht="12.75" x14ac:dyDescent="0.2">
      <c r="B625" s="4"/>
      <c r="C625" s="4"/>
      <c r="D625" s="5"/>
    </row>
    <row r="626" spans="2:4" ht="12.75" x14ac:dyDescent="0.2">
      <c r="B626" s="4"/>
      <c r="C626" s="4"/>
      <c r="D626" s="5"/>
    </row>
    <row r="627" spans="2:4" ht="12.75" x14ac:dyDescent="0.2">
      <c r="B627" s="4"/>
      <c r="C627" s="4"/>
      <c r="D627" s="5"/>
    </row>
    <row r="628" spans="2:4" ht="12.75" x14ac:dyDescent="0.2">
      <c r="B628" s="4"/>
      <c r="C628" s="4"/>
      <c r="D628" s="5"/>
    </row>
    <row r="629" spans="2:4" ht="12.75" x14ac:dyDescent="0.2">
      <c r="B629" s="4"/>
      <c r="C629" s="4"/>
      <c r="D629" s="5"/>
    </row>
    <row r="630" spans="2:4" ht="12.75" x14ac:dyDescent="0.2">
      <c r="B630" s="4"/>
      <c r="C630" s="4"/>
      <c r="D630" s="5"/>
    </row>
    <row r="631" spans="2:4" ht="12.75" x14ac:dyDescent="0.2">
      <c r="B631" s="4"/>
      <c r="C631" s="4"/>
      <c r="D631" s="5"/>
    </row>
    <row r="632" spans="2:4" ht="12.75" x14ac:dyDescent="0.2">
      <c r="B632" s="4"/>
      <c r="C632" s="4"/>
      <c r="D632" s="5"/>
    </row>
    <row r="633" spans="2:4" ht="12.75" x14ac:dyDescent="0.2">
      <c r="B633" s="4"/>
      <c r="C633" s="4"/>
      <c r="D633" s="5"/>
    </row>
    <row r="634" spans="2:4" ht="12.75" x14ac:dyDescent="0.2">
      <c r="B634" s="4"/>
      <c r="C634" s="4"/>
      <c r="D634" s="5"/>
    </row>
    <row r="635" spans="2:4" ht="12.75" x14ac:dyDescent="0.2">
      <c r="B635" s="4"/>
      <c r="C635" s="4"/>
      <c r="D635" s="5"/>
    </row>
    <row r="636" spans="2:4" ht="12.75" x14ac:dyDescent="0.2">
      <c r="B636" s="4"/>
      <c r="C636" s="4"/>
      <c r="D636" s="5"/>
    </row>
    <row r="637" spans="2:4" ht="12.75" x14ac:dyDescent="0.2">
      <c r="B637" s="4"/>
      <c r="C637" s="4"/>
      <c r="D637" s="5"/>
    </row>
    <row r="638" spans="2:4" ht="12.75" x14ac:dyDescent="0.2">
      <c r="B638" s="4"/>
      <c r="C638" s="4"/>
      <c r="D638" s="5"/>
    </row>
    <row r="639" spans="2:4" ht="12.75" x14ac:dyDescent="0.2">
      <c r="B639" s="4"/>
      <c r="C639" s="4"/>
      <c r="D639" s="5"/>
    </row>
    <row r="640" spans="2:4" ht="12.75" x14ac:dyDescent="0.2">
      <c r="B640" s="4"/>
      <c r="C640" s="4"/>
      <c r="D640" s="5"/>
    </row>
    <row r="641" spans="2:4" ht="12.75" x14ac:dyDescent="0.2">
      <c r="B641" s="4"/>
      <c r="C641" s="4"/>
      <c r="D641" s="5"/>
    </row>
    <row r="642" spans="2:4" ht="12.75" x14ac:dyDescent="0.2">
      <c r="B642" s="4"/>
      <c r="C642" s="4"/>
      <c r="D642" s="5"/>
    </row>
    <row r="643" spans="2:4" ht="12.75" x14ac:dyDescent="0.2">
      <c r="B643" s="4"/>
      <c r="C643" s="4"/>
      <c r="D643" s="5"/>
    </row>
    <row r="644" spans="2:4" ht="12.75" x14ac:dyDescent="0.2">
      <c r="B644" s="4"/>
      <c r="C644" s="4"/>
      <c r="D644" s="5"/>
    </row>
    <row r="645" spans="2:4" ht="12.75" x14ac:dyDescent="0.2">
      <c r="B645" s="4"/>
      <c r="C645" s="4"/>
      <c r="D645" s="5"/>
    </row>
    <row r="646" spans="2:4" ht="12.75" x14ac:dyDescent="0.2">
      <c r="B646" s="4"/>
      <c r="C646" s="4"/>
      <c r="D646" s="5"/>
    </row>
    <row r="647" spans="2:4" ht="12.75" x14ac:dyDescent="0.2">
      <c r="B647" s="4"/>
      <c r="C647" s="4"/>
      <c r="D647" s="5"/>
    </row>
    <row r="648" spans="2:4" ht="12.75" x14ac:dyDescent="0.2">
      <c r="B648" s="4"/>
      <c r="C648" s="4"/>
      <c r="D648" s="5"/>
    </row>
    <row r="649" spans="2:4" ht="12.75" x14ac:dyDescent="0.2">
      <c r="B649" s="4"/>
      <c r="C649" s="4"/>
      <c r="D649" s="5"/>
    </row>
    <row r="650" spans="2:4" ht="12.75" x14ac:dyDescent="0.2">
      <c r="B650" s="4"/>
      <c r="C650" s="4"/>
      <c r="D650" s="5"/>
    </row>
    <row r="651" spans="2:4" ht="12.75" x14ac:dyDescent="0.2">
      <c r="B651" s="4"/>
      <c r="C651" s="4"/>
      <c r="D651" s="5"/>
    </row>
    <row r="652" spans="2:4" ht="12.75" x14ac:dyDescent="0.2">
      <c r="B652" s="4"/>
      <c r="C652" s="4"/>
      <c r="D652" s="5"/>
    </row>
    <row r="653" spans="2:4" ht="12.75" x14ac:dyDescent="0.2">
      <c r="B653" s="4"/>
      <c r="C653" s="4"/>
      <c r="D653" s="5"/>
    </row>
    <row r="654" spans="2:4" ht="12.75" x14ac:dyDescent="0.2">
      <c r="B654" s="4"/>
      <c r="C654" s="4"/>
      <c r="D654" s="5"/>
    </row>
    <row r="655" spans="2:4" ht="12.75" x14ac:dyDescent="0.2">
      <c r="B655" s="4"/>
      <c r="C655" s="4"/>
      <c r="D655" s="5"/>
    </row>
    <row r="656" spans="2:4" ht="12.75" x14ac:dyDescent="0.2">
      <c r="B656" s="4"/>
      <c r="C656" s="4"/>
      <c r="D656" s="5"/>
    </row>
    <row r="657" spans="2:4" ht="12.75" x14ac:dyDescent="0.2">
      <c r="B657" s="4"/>
      <c r="C657" s="4"/>
      <c r="D657" s="5"/>
    </row>
    <row r="658" spans="2:4" ht="12.75" x14ac:dyDescent="0.2">
      <c r="B658" s="4"/>
      <c r="C658" s="4"/>
      <c r="D658" s="5"/>
    </row>
    <row r="659" spans="2:4" ht="12.75" x14ac:dyDescent="0.2">
      <c r="B659" s="4"/>
      <c r="C659" s="4"/>
      <c r="D659" s="5"/>
    </row>
    <row r="660" spans="2:4" ht="12.75" x14ac:dyDescent="0.2">
      <c r="B660" s="4"/>
      <c r="C660" s="4"/>
      <c r="D660" s="5"/>
    </row>
    <row r="661" spans="2:4" ht="12.75" x14ac:dyDescent="0.2">
      <c r="B661" s="4"/>
      <c r="C661" s="4"/>
      <c r="D661" s="5"/>
    </row>
    <row r="662" spans="2:4" ht="12.75" x14ac:dyDescent="0.2">
      <c r="B662" s="4"/>
      <c r="C662" s="4"/>
      <c r="D662" s="5"/>
    </row>
    <row r="663" spans="2:4" ht="12.75" x14ac:dyDescent="0.2">
      <c r="B663" s="4"/>
      <c r="C663" s="4"/>
      <c r="D663" s="5"/>
    </row>
    <row r="664" spans="2:4" ht="12.75" x14ac:dyDescent="0.2">
      <c r="B664" s="4"/>
      <c r="C664" s="4"/>
      <c r="D664" s="5"/>
    </row>
    <row r="665" spans="2:4" ht="12.75" x14ac:dyDescent="0.2">
      <c r="B665" s="4"/>
      <c r="C665" s="4"/>
      <c r="D665" s="5"/>
    </row>
    <row r="666" spans="2:4" ht="12.75" x14ac:dyDescent="0.2">
      <c r="B666" s="4"/>
      <c r="C666" s="4"/>
      <c r="D666" s="5"/>
    </row>
    <row r="667" spans="2:4" ht="12.75" x14ac:dyDescent="0.2">
      <c r="B667" s="4"/>
      <c r="C667" s="4"/>
      <c r="D667" s="5"/>
    </row>
    <row r="668" spans="2:4" ht="12.75" x14ac:dyDescent="0.2">
      <c r="B668" s="4"/>
      <c r="C668" s="4"/>
      <c r="D668" s="5"/>
    </row>
    <row r="669" spans="2:4" ht="12.75" x14ac:dyDescent="0.2">
      <c r="B669" s="4"/>
      <c r="C669" s="4"/>
      <c r="D669" s="5"/>
    </row>
    <row r="670" spans="2:4" ht="12.75" x14ac:dyDescent="0.2">
      <c r="B670" s="4"/>
      <c r="C670" s="4"/>
      <c r="D670" s="5"/>
    </row>
    <row r="671" spans="2:4" ht="12.75" x14ac:dyDescent="0.2">
      <c r="B671" s="4"/>
      <c r="C671" s="4"/>
      <c r="D671" s="5"/>
    </row>
    <row r="672" spans="2:4" ht="12.75" x14ac:dyDescent="0.2">
      <c r="B672" s="4"/>
      <c r="C672" s="4"/>
      <c r="D672" s="5"/>
    </row>
    <row r="673" spans="2:4" ht="12.75" x14ac:dyDescent="0.2">
      <c r="B673" s="4"/>
      <c r="C673" s="4"/>
      <c r="D673" s="5"/>
    </row>
    <row r="674" spans="2:4" ht="12.75" x14ac:dyDescent="0.2">
      <c r="B674" s="4"/>
      <c r="C674" s="4"/>
      <c r="D674" s="5"/>
    </row>
    <row r="675" spans="2:4" ht="12.75" x14ac:dyDescent="0.2">
      <c r="B675" s="4"/>
      <c r="C675" s="4"/>
      <c r="D675" s="5"/>
    </row>
    <row r="676" spans="2:4" ht="12.75" x14ac:dyDescent="0.2">
      <c r="B676" s="4"/>
      <c r="C676" s="4"/>
      <c r="D676" s="5"/>
    </row>
    <row r="677" spans="2:4" ht="12.75" x14ac:dyDescent="0.2">
      <c r="B677" s="4"/>
      <c r="C677" s="4"/>
      <c r="D677" s="5"/>
    </row>
    <row r="678" spans="2:4" ht="12.75" x14ac:dyDescent="0.2">
      <c r="B678" s="4"/>
      <c r="C678" s="4"/>
      <c r="D678" s="5"/>
    </row>
    <row r="679" spans="2:4" ht="12.75" x14ac:dyDescent="0.2">
      <c r="B679" s="4"/>
      <c r="C679" s="4"/>
      <c r="D679" s="5"/>
    </row>
    <row r="680" spans="2:4" ht="12.75" x14ac:dyDescent="0.2">
      <c r="B680" s="4"/>
      <c r="C680" s="4"/>
      <c r="D680" s="5"/>
    </row>
    <row r="681" spans="2:4" ht="12.75" x14ac:dyDescent="0.2">
      <c r="B681" s="4"/>
      <c r="C681" s="4"/>
      <c r="D681" s="5"/>
    </row>
    <row r="682" spans="2:4" ht="12.75" x14ac:dyDescent="0.2">
      <c r="B682" s="4"/>
      <c r="C682" s="4"/>
      <c r="D682" s="5"/>
    </row>
    <row r="683" spans="2:4" ht="12.75" x14ac:dyDescent="0.2">
      <c r="B683" s="4"/>
      <c r="C683" s="4"/>
      <c r="D683" s="5"/>
    </row>
    <row r="684" spans="2:4" ht="12.75" x14ac:dyDescent="0.2">
      <c r="B684" s="4"/>
      <c r="C684" s="4"/>
      <c r="D684" s="5"/>
    </row>
    <row r="685" spans="2:4" ht="12.75" x14ac:dyDescent="0.2">
      <c r="B685" s="4"/>
      <c r="C685" s="4"/>
      <c r="D685" s="5"/>
    </row>
    <row r="686" spans="2:4" ht="12.75" x14ac:dyDescent="0.2">
      <c r="B686" s="4"/>
      <c r="C686" s="4"/>
      <c r="D686" s="5"/>
    </row>
    <row r="687" spans="2:4" ht="12.75" x14ac:dyDescent="0.2">
      <c r="B687" s="4"/>
      <c r="C687" s="4"/>
      <c r="D687" s="5"/>
    </row>
    <row r="688" spans="2:4" ht="12.75" x14ac:dyDescent="0.2">
      <c r="B688" s="4"/>
      <c r="C688" s="4"/>
      <c r="D688" s="5"/>
    </row>
    <row r="689" spans="2:4" ht="12.75" x14ac:dyDescent="0.2">
      <c r="B689" s="4"/>
      <c r="C689" s="4"/>
      <c r="D689" s="5"/>
    </row>
    <row r="690" spans="2:4" ht="12.75" x14ac:dyDescent="0.2">
      <c r="B690" s="4"/>
      <c r="C690" s="4"/>
      <c r="D690" s="5"/>
    </row>
    <row r="691" spans="2:4" ht="12.75" x14ac:dyDescent="0.2">
      <c r="B691" s="4"/>
      <c r="C691" s="4"/>
      <c r="D691" s="5"/>
    </row>
    <row r="692" spans="2:4" ht="12.75" x14ac:dyDescent="0.2">
      <c r="B692" s="4"/>
      <c r="C692" s="4"/>
      <c r="D692" s="5"/>
    </row>
    <row r="693" spans="2:4" ht="12.75" x14ac:dyDescent="0.2">
      <c r="B693" s="4"/>
      <c r="C693" s="4"/>
      <c r="D693" s="5"/>
    </row>
    <row r="694" spans="2:4" ht="12.75" x14ac:dyDescent="0.2">
      <c r="B694" s="4"/>
      <c r="C694" s="4"/>
      <c r="D694" s="5"/>
    </row>
    <row r="695" spans="2:4" ht="12.75" x14ac:dyDescent="0.2">
      <c r="B695" s="4"/>
      <c r="C695" s="4"/>
      <c r="D695" s="5"/>
    </row>
    <row r="696" spans="2:4" ht="12.75" x14ac:dyDescent="0.2">
      <c r="B696" s="4"/>
      <c r="C696" s="4"/>
      <c r="D696" s="5"/>
    </row>
    <row r="697" spans="2:4" ht="12.75" x14ac:dyDescent="0.2">
      <c r="B697" s="4"/>
      <c r="C697" s="4"/>
      <c r="D697" s="5"/>
    </row>
    <row r="698" spans="2:4" ht="12.75" x14ac:dyDescent="0.2">
      <c r="B698" s="4"/>
      <c r="C698" s="4"/>
      <c r="D698" s="5"/>
    </row>
    <row r="699" spans="2:4" ht="12.75" x14ac:dyDescent="0.2">
      <c r="B699" s="4"/>
      <c r="C699" s="4"/>
      <c r="D699" s="5"/>
    </row>
    <row r="700" spans="2:4" ht="12.75" x14ac:dyDescent="0.2">
      <c r="B700" s="4"/>
      <c r="C700" s="4"/>
      <c r="D700" s="5"/>
    </row>
    <row r="701" spans="2:4" ht="12.75" x14ac:dyDescent="0.2">
      <c r="B701" s="4"/>
      <c r="C701" s="4"/>
      <c r="D701" s="5"/>
    </row>
    <row r="702" spans="2:4" ht="12.75" x14ac:dyDescent="0.2">
      <c r="B702" s="4"/>
      <c r="C702" s="4"/>
      <c r="D702" s="5"/>
    </row>
    <row r="703" spans="2:4" ht="12.75" x14ac:dyDescent="0.2">
      <c r="B703" s="4"/>
      <c r="C703" s="4"/>
      <c r="D703" s="5"/>
    </row>
    <row r="704" spans="2:4" ht="12.75" x14ac:dyDescent="0.2">
      <c r="B704" s="4"/>
      <c r="C704" s="4"/>
      <c r="D704" s="5"/>
    </row>
    <row r="705" spans="2:4" ht="12.75" x14ac:dyDescent="0.2">
      <c r="B705" s="4"/>
      <c r="C705" s="4"/>
      <c r="D705" s="5"/>
    </row>
    <row r="706" spans="2:4" ht="12.75" x14ac:dyDescent="0.2">
      <c r="B706" s="4"/>
      <c r="C706" s="4"/>
      <c r="D706" s="5"/>
    </row>
    <row r="707" spans="2:4" ht="12.75" x14ac:dyDescent="0.2">
      <c r="B707" s="4"/>
      <c r="C707" s="4"/>
      <c r="D707" s="5"/>
    </row>
    <row r="708" spans="2:4" ht="12.75" x14ac:dyDescent="0.2">
      <c r="B708" s="4"/>
      <c r="C708" s="4"/>
      <c r="D708" s="5"/>
    </row>
    <row r="709" spans="2:4" ht="12.75" x14ac:dyDescent="0.2">
      <c r="B709" s="4"/>
      <c r="C709" s="4"/>
      <c r="D709" s="5"/>
    </row>
    <row r="710" spans="2:4" ht="12.75" x14ac:dyDescent="0.2">
      <c r="B710" s="4"/>
      <c r="C710" s="4"/>
      <c r="D710" s="5"/>
    </row>
    <row r="711" spans="2:4" ht="12.75" x14ac:dyDescent="0.2">
      <c r="B711" s="4"/>
      <c r="C711" s="4"/>
      <c r="D711" s="5"/>
    </row>
    <row r="712" spans="2:4" ht="12.75" x14ac:dyDescent="0.2">
      <c r="B712" s="4"/>
      <c r="C712" s="4"/>
      <c r="D712" s="5"/>
    </row>
    <row r="713" spans="2:4" ht="12.75" x14ac:dyDescent="0.2">
      <c r="B713" s="4"/>
      <c r="C713" s="4"/>
      <c r="D713" s="5"/>
    </row>
    <row r="714" spans="2:4" ht="12.75" x14ac:dyDescent="0.2">
      <c r="B714" s="4"/>
      <c r="C714" s="4"/>
      <c r="D714" s="5"/>
    </row>
    <row r="715" spans="2:4" ht="12.75" x14ac:dyDescent="0.2">
      <c r="B715" s="4"/>
      <c r="C715" s="4"/>
      <c r="D715" s="5"/>
    </row>
    <row r="716" spans="2:4" ht="12.75" x14ac:dyDescent="0.2">
      <c r="B716" s="4"/>
      <c r="C716" s="4"/>
      <c r="D716" s="5"/>
    </row>
    <row r="717" spans="2:4" ht="12.75" x14ac:dyDescent="0.2">
      <c r="B717" s="4"/>
      <c r="C717" s="4"/>
      <c r="D717" s="5"/>
    </row>
    <row r="718" spans="2:4" ht="12.75" x14ac:dyDescent="0.2">
      <c r="B718" s="4"/>
      <c r="C718" s="4"/>
      <c r="D718" s="5"/>
    </row>
    <row r="719" spans="2:4" ht="12.75" x14ac:dyDescent="0.2">
      <c r="B719" s="4"/>
      <c r="C719" s="4"/>
      <c r="D719" s="5"/>
    </row>
    <row r="720" spans="2:4" ht="12.75" x14ac:dyDescent="0.2">
      <c r="B720" s="4"/>
      <c r="C720" s="4"/>
      <c r="D720" s="5"/>
    </row>
    <row r="721" spans="2:4" ht="12.75" x14ac:dyDescent="0.2">
      <c r="B721" s="4"/>
      <c r="C721" s="4"/>
      <c r="D721" s="5"/>
    </row>
    <row r="722" spans="2:4" ht="12.75" x14ac:dyDescent="0.2">
      <c r="B722" s="4"/>
      <c r="C722" s="4"/>
      <c r="D722" s="5"/>
    </row>
    <row r="723" spans="2:4" ht="12.75" x14ac:dyDescent="0.2">
      <c r="B723" s="4"/>
      <c r="C723" s="4"/>
      <c r="D723" s="5"/>
    </row>
    <row r="724" spans="2:4" ht="12.75" x14ac:dyDescent="0.2">
      <c r="B724" s="4"/>
      <c r="C724" s="4"/>
      <c r="D724" s="5"/>
    </row>
    <row r="725" spans="2:4" ht="12.75" x14ac:dyDescent="0.2">
      <c r="B725" s="4"/>
      <c r="C725" s="4"/>
      <c r="D725" s="5"/>
    </row>
    <row r="726" spans="2:4" ht="12.75" x14ac:dyDescent="0.2">
      <c r="B726" s="4"/>
      <c r="C726" s="4"/>
      <c r="D726" s="5"/>
    </row>
    <row r="727" spans="2:4" ht="12.75" x14ac:dyDescent="0.2">
      <c r="B727" s="4"/>
      <c r="C727" s="4"/>
      <c r="D727" s="5"/>
    </row>
    <row r="728" spans="2:4" ht="12.75" x14ac:dyDescent="0.2">
      <c r="B728" s="4"/>
      <c r="C728" s="4"/>
      <c r="D728" s="5"/>
    </row>
    <row r="729" spans="2:4" ht="12.75" x14ac:dyDescent="0.2">
      <c r="B729" s="4"/>
      <c r="C729" s="4"/>
      <c r="D729" s="5"/>
    </row>
    <row r="730" spans="2:4" ht="12.75" x14ac:dyDescent="0.2">
      <c r="B730" s="4"/>
      <c r="C730" s="4"/>
      <c r="D730" s="5"/>
    </row>
    <row r="731" spans="2:4" ht="12.75" x14ac:dyDescent="0.2">
      <c r="B731" s="4"/>
      <c r="C731" s="4"/>
      <c r="D731" s="5"/>
    </row>
    <row r="732" spans="2:4" ht="12.75" x14ac:dyDescent="0.2">
      <c r="B732" s="4"/>
      <c r="C732" s="4"/>
      <c r="D732" s="5"/>
    </row>
    <row r="733" spans="2:4" ht="12.75" x14ac:dyDescent="0.2">
      <c r="B733" s="4"/>
      <c r="C733" s="4"/>
      <c r="D733" s="5"/>
    </row>
    <row r="734" spans="2:4" ht="12.75" x14ac:dyDescent="0.2">
      <c r="B734" s="4"/>
      <c r="C734" s="4"/>
      <c r="D734" s="5"/>
    </row>
    <row r="735" spans="2:4" ht="12.75" x14ac:dyDescent="0.2">
      <c r="B735" s="4"/>
      <c r="C735" s="4"/>
      <c r="D735" s="5"/>
    </row>
    <row r="736" spans="2:4" ht="12.75" x14ac:dyDescent="0.2">
      <c r="B736" s="4"/>
      <c r="C736" s="4"/>
      <c r="D736" s="5"/>
    </row>
    <row r="737" spans="2:4" ht="12.75" x14ac:dyDescent="0.2">
      <c r="B737" s="4"/>
      <c r="C737" s="4"/>
      <c r="D737" s="5"/>
    </row>
    <row r="738" spans="2:4" ht="12.75" x14ac:dyDescent="0.2">
      <c r="B738" s="4"/>
      <c r="C738" s="4"/>
      <c r="D738" s="5"/>
    </row>
    <row r="739" spans="2:4" ht="12.75" x14ac:dyDescent="0.2">
      <c r="B739" s="4"/>
      <c r="C739" s="4"/>
      <c r="D739" s="5"/>
    </row>
    <row r="740" spans="2:4" ht="12.75" x14ac:dyDescent="0.2">
      <c r="B740" s="4"/>
      <c r="C740" s="4"/>
      <c r="D740" s="5"/>
    </row>
    <row r="741" spans="2:4" ht="12.75" x14ac:dyDescent="0.2">
      <c r="B741" s="4"/>
      <c r="C741" s="4"/>
      <c r="D741" s="5"/>
    </row>
    <row r="742" spans="2:4" ht="12.75" x14ac:dyDescent="0.2">
      <c r="B742" s="4"/>
      <c r="C742" s="4"/>
      <c r="D742" s="5"/>
    </row>
    <row r="743" spans="2:4" ht="12.75" x14ac:dyDescent="0.2">
      <c r="B743" s="4"/>
      <c r="C743" s="4"/>
      <c r="D743" s="5"/>
    </row>
    <row r="744" spans="2:4" ht="12.75" x14ac:dyDescent="0.2">
      <c r="B744" s="4"/>
      <c r="C744" s="4"/>
      <c r="D744" s="5"/>
    </row>
    <row r="745" spans="2:4" ht="12.75" x14ac:dyDescent="0.2">
      <c r="B745" s="4"/>
      <c r="C745" s="4"/>
      <c r="D745" s="5"/>
    </row>
    <row r="746" spans="2:4" ht="12.75" x14ac:dyDescent="0.2">
      <c r="B746" s="4"/>
      <c r="C746" s="4"/>
      <c r="D746" s="5"/>
    </row>
    <row r="747" spans="2:4" ht="12.75" x14ac:dyDescent="0.2">
      <c r="B747" s="4"/>
      <c r="C747" s="4"/>
      <c r="D747" s="5"/>
    </row>
    <row r="748" spans="2:4" ht="12.75" x14ac:dyDescent="0.2">
      <c r="B748" s="4"/>
      <c r="C748" s="4"/>
      <c r="D748" s="5"/>
    </row>
    <row r="749" spans="2:4" ht="12.75" x14ac:dyDescent="0.2">
      <c r="B749" s="4"/>
      <c r="C749" s="4"/>
      <c r="D749" s="5"/>
    </row>
    <row r="750" spans="2:4" ht="12.75" x14ac:dyDescent="0.2">
      <c r="B750" s="4"/>
      <c r="C750" s="4"/>
      <c r="D750" s="5"/>
    </row>
    <row r="751" spans="2:4" ht="12.75" x14ac:dyDescent="0.2">
      <c r="B751" s="4"/>
      <c r="C751" s="4"/>
      <c r="D751" s="5"/>
    </row>
    <row r="752" spans="2:4" ht="12.75" x14ac:dyDescent="0.2">
      <c r="B752" s="4"/>
      <c r="C752" s="4"/>
      <c r="D752" s="5"/>
    </row>
    <row r="753" spans="2:4" ht="12.75" x14ac:dyDescent="0.2">
      <c r="B753" s="4"/>
      <c r="C753" s="4"/>
      <c r="D753" s="5"/>
    </row>
    <row r="754" spans="2:4" ht="12.75" x14ac:dyDescent="0.2">
      <c r="B754" s="4"/>
      <c r="C754" s="4"/>
      <c r="D754" s="5"/>
    </row>
    <row r="755" spans="2:4" ht="12.75" x14ac:dyDescent="0.2">
      <c r="B755" s="4"/>
      <c r="C755" s="4"/>
      <c r="D755" s="5"/>
    </row>
    <row r="756" spans="2:4" ht="12.75" x14ac:dyDescent="0.2">
      <c r="B756" s="4"/>
      <c r="C756" s="4"/>
      <c r="D756" s="5"/>
    </row>
    <row r="757" spans="2:4" ht="12.75" x14ac:dyDescent="0.2">
      <c r="B757" s="4"/>
      <c r="C757" s="4"/>
      <c r="D757" s="5"/>
    </row>
    <row r="758" spans="2:4" ht="12.75" x14ac:dyDescent="0.2">
      <c r="B758" s="4"/>
      <c r="C758" s="4"/>
      <c r="D758" s="5"/>
    </row>
    <row r="759" spans="2:4" ht="12.75" x14ac:dyDescent="0.2">
      <c r="B759" s="4"/>
      <c r="C759" s="4"/>
      <c r="D759" s="5"/>
    </row>
    <row r="760" spans="2:4" ht="12.75" x14ac:dyDescent="0.2">
      <c r="B760" s="4"/>
      <c r="C760" s="4"/>
      <c r="D760" s="5"/>
    </row>
    <row r="761" spans="2:4" ht="12.75" x14ac:dyDescent="0.2">
      <c r="B761" s="4"/>
      <c r="C761" s="4"/>
      <c r="D761" s="5"/>
    </row>
    <row r="762" spans="2:4" ht="12.75" x14ac:dyDescent="0.2">
      <c r="B762" s="4"/>
      <c r="C762" s="4"/>
      <c r="D762" s="5"/>
    </row>
    <row r="763" spans="2:4" ht="12.75" x14ac:dyDescent="0.2">
      <c r="B763" s="4"/>
      <c r="C763" s="4"/>
      <c r="D763" s="5"/>
    </row>
    <row r="764" spans="2:4" ht="12.75" x14ac:dyDescent="0.2">
      <c r="B764" s="4"/>
      <c r="C764" s="4"/>
      <c r="D764" s="5"/>
    </row>
    <row r="765" spans="2:4" ht="12.75" x14ac:dyDescent="0.2">
      <c r="B765" s="4"/>
      <c r="C765" s="4"/>
      <c r="D765" s="5"/>
    </row>
    <row r="766" spans="2:4" ht="12.75" x14ac:dyDescent="0.2">
      <c r="B766" s="4"/>
      <c r="C766" s="4"/>
      <c r="D766" s="5"/>
    </row>
    <row r="767" spans="2:4" ht="12.75" x14ac:dyDescent="0.2">
      <c r="B767" s="4"/>
      <c r="C767" s="4"/>
      <c r="D767" s="5"/>
    </row>
    <row r="768" spans="2:4" ht="12.75" x14ac:dyDescent="0.2">
      <c r="B768" s="4"/>
      <c r="C768" s="4"/>
      <c r="D768" s="5"/>
    </row>
    <row r="769" spans="2:4" ht="12.75" x14ac:dyDescent="0.2">
      <c r="B769" s="4"/>
      <c r="C769" s="4"/>
      <c r="D769" s="5"/>
    </row>
    <row r="770" spans="2:4" ht="12.75" x14ac:dyDescent="0.2">
      <c r="B770" s="4"/>
      <c r="C770" s="4"/>
      <c r="D770" s="5"/>
    </row>
    <row r="771" spans="2:4" ht="12.75" x14ac:dyDescent="0.2">
      <c r="B771" s="4"/>
      <c r="C771" s="4"/>
      <c r="D771" s="5"/>
    </row>
    <row r="772" spans="2:4" ht="12.75" x14ac:dyDescent="0.2">
      <c r="B772" s="4"/>
      <c r="C772" s="4"/>
      <c r="D772" s="5"/>
    </row>
    <row r="773" spans="2:4" ht="12.75" x14ac:dyDescent="0.2">
      <c r="B773" s="4"/>
      <c r="C773" s="4"/>
      <c r="D773" s="5"/>
    </row>
    <row r="774" spans="2:4" ht="12.75" x14ac:dyDescent="0.2">
      <c r="B774" s="4"/>
      <c r="C774" s="4"/>
      <c r="D774" s="5"/>
    </row>
    <row r="775" spans="2:4" ht="12.75" x14ac:dyDescent="0.2">
      <c r="B775" s="4"/>
      <c r="C775" s="4"/>
      <c r="D775" s="5"/>
    </row>
    <row r="776" spans="2:4" ht="12.75" x14ac:dyDescent="0.2">
      <c r="B776" s="4"/>
      <c r="C776" s="4"/>
      <c r="D776" s="5"/>
    </row>
    <row r="777" spans="2:4" ht="12.75" x14ac:dyDescent="0.2">
      <c r="B777" s="4"/>
      <c r="C777" s="4"/>
      <c r="D777" s="5"/>
    </row>
    <row r="778" spans="2:4" ht="12.75" x14ac:dyDescent="0.2">
      <c r="B778" s="4"/>
      <c r="C778" s="4"/>
      <c r="D778" s="5"/>
    </row>
    <row r="779" spans="2:4" ht="12.75" x14ac:dyDescent="0.2">
      <c r="B779" s="4"/>
      <c r="C779" s="4"/>
      <c r="D779" s="5"/>
    </row>
    <row r="780" spans="2:4" ht="12.75" x14ac:dyDescent="0.2">
      <c r="B780" s="4"/>
      <c r="C780" s="4"/>
      <c r="D780" s="5"/>
    </row>
    <row r="781" spans="2:4" ht="12.75" x14ac:dyDescent="0.2">
      <c r="B781" s="4"/>
      <c r="C781" s="4"/>
      <c r="D781" s="5"/>
    </row>
    <row r="782" spans="2:4" ht="12.75" x14ac:dyDescent="0.2">
      <c r="B782" s="4"/>
      <c r="C782" s="4"/>
      <c r="D782" s="5"/>
    </row>
    <row r="783" spans="2:4" ht="12.75" x14ac:dyDescent="0.2">
      <c r="B783" s="4"/>
      <c r="C783" s="4"/>
      <c r="D783" s="5"/>
    </row>
    <row r="784" spans="2:4" ht="12.75" x14ac:dyDescent="0.2">
      <c r="B784" s="4"/>
      <c r="C784" s="4"/>
      <c r="D784" s="5"/>
    </row>
    <row r="785" spans="2:4" ht="12.75" x14ac:dyDescent="0.2">
      <c r="B785" s="4"/>
      <c r="C785" s="4"/>
      <c r="D785" s="5"/>
    </row>
    <row r="786" spans="2:4" ht="12.75" x14ac:dyDescent="0.2">
      <c r="B786" s="4"/>
      <c r="C786" s="4"/>
      <c r="D786" s="5"/>
    </row>
    <row r="787" spans="2:4" ht="12.75" x14ac:dyDescent="0.2">
      <c r="B787" s="4"/>
      <c r="C787" s="4"/>
      <c r="D787" s="5"/>
    </row>
    <row r="788" spans="2:4" ht="12.75" x14ac:dyDescent="0.2">
      <c r="B788" s="4"/>
      <c r="C788" s="4"/>
      <c r="D788" s="5"/>
    </row>
    <row r="789" spans="2:4" ht="12.75" x14ac:dyDescent="0.2">
      <c r="B789" s="4"/>
      <c r="C789" s="4"/>
      <c r="D789" s="5"/>
    </row>
    <row r="790" spans="2:4" ht="12.75" x14ac:dyDescent="0.2">
      <c r="B790" s="4"/>
      <c r="C790" s="4"/>
      <c r="D790" s="5"/>
    </row>
    <row r="791" spans="2:4" ht="12.75" x14ac:dyDescent="0.2">
      <c r="B791" s="4"/>
      <c r="C791" s="4"/>
      <c r="D791" s="5"/>
    </row>
    <row r="792" spans="2:4" ht="12.75" x14ac:dyDescent="0.2">
      <c r="B792" s="4"/>
      <c r="C792" s="4"/>
      <c r="D792" s="5"/>
    </row>
    <row r="793" spans="2:4" ht="12.75" x14ac:dyDescent="0.2">
      <c r="B793" s="4"/>
      <c r="C793" s="4"/>
      <c r="D793" s="5"/>
    </row>
    <row r="794" spans="2:4" ht="12.75" x14ac:dyDescent="0.2">
      <c r="B794" s="4"/>
      <c r="C794" s="4"/>
      <c r="D794" s="5"/>
    </row>
    <row r="795" spans="2:4" ht="12.75" x14ac:dyDescent="0.2">
      <c r="B795" s="4"/>
      <c r="C795" s="4"/>
      <c r="D795" s="5"/>
    </row>
    <row r="796" spans="2:4" ht="12.75" x14ac:dyDescent="0.2">
      <c r="B796" s="4"/>
      <c r="C796" s="4"/>
      <c r="D796" s="5"/>
    </row>
    <row r="797" spans="2:4" ht="12.75" x14ac:dyDescent="0.2">
      <c r="B797" s="4"/>
      <c r="C797" s="4"/>
      <c r="D797" s="5"/>
    </row>
    <row r="798" spans="2:4" ht="12.75" x14ac:dyDescent="0.2">
      <c r="B798" s="4"/>
      <c r="C798" s="4"/>
      <c r="D798" s="5"/>
    </row>
    <row r="799" spans="2:4" ht="12.75" x14ac:dyDescent="0.2">
      <c r="B799" s="4"/>
      <c r="C799" s="4"/>
      <c r="D799" s="5"/>
    </row>
    <row r="800" spans="2:4" ht="12.75" x14ac:dyDescent="0.2">
      <c r="B800" s="4"/>
      <c r="C800" s="4"/>
      <c r="D800" s="5"/>
    </row>
    <row r="801" spans="2:4" ht="12.75" x14ac:dyDescent="0.2">
      <c r="B801" s="4"/>
      <c r="C801" s="4"/>
      <c r="D801" s="5"/>
    </row>
    <row r="802" spans="2:4" ht="12.75" x14ac:dyDescent="0.2">
      <c r="B802" s="4"/>
      <c r="C802" s="4"/>
      <c r="D802" s="5"/>
    </row>
    <row r="803" spans="2:4" ht="12.75" x14ac:dyDescent="0.2">
      <c r="B803" s="4"/>
      <c r="C803" s="4"/>
      <c r="D803" s="5"/>
    </row>
    <row r="804" spans="2:4" ht="12.75" x14ac:dyDescent="0.2">
      <c r="B804" s="4"/>
      <c r="C804" s="4"/>
      <c r="D804" s="5"/>
    </row>
    <row r="805" spans="2:4" ht="12.75" x14ac:dyDescent="0.2">
      <c r="B805" s="4"/>
      <c r="C805" s="4"/>
      <c r="D805" s="5"/>
    </row>
    <row r="806" spans="2:4" ht="12.75" x14ac:dyDescent="0.2">
      <c r="B806" s="4"/>
      <c r="C806" s="4"/>
      <c r="D806" s="5"/>
    </row>
    <row r="807" spans="2:4" ht="12.75" x14ac:dyDescent="0.2">
      <c r="B807" s="4"/>
      <c r="C807" s="4"/>
      <c r="D807" s="5"/>
    </row>
    <row r="808" spans="2:4" ht="12.75" x14ac:dyDescent="0.2">
      <c r="B808" s="4"/>
      <c r="C808" s="4"/>
      <c r="D808" s="5"/>
    </row>
    <row r="809" spans="2:4" ht="12.75" x14ac:dyDescent="0.2">
      <c r="B809" s="4"/>
      <c r="C809" s="4"/>
      <c r="D809" s="5"/>
    </row>
    <row r="810" spans="2:4" ht="12.75" x14ac:dyDescent="0.2">
      <c r="B810" s="4"/>
      <c r="C810" s="4"/>
      <c r="D810" s="5"/>
    </row>
    <row r="811" spans="2:4" ht="12.75" x14ac:dyDescent="0.2">
      <c r="B811" s="4"/>
      <c r="C811" s="4"/>
      <c r="D811" s="5"/>
    </row>
    <row r="812" spans="2:4" ht="12.75" x14ac:dyDescent="0.2">
      <c r="B812" s="4"/>
      <c r="C812" s="4"/>
      <c r="D812" s="5"/>
    </row>
    <row r="813" spans="2:4" ht="12.75" x14ac:dyDescent="0.2">
      <c r="B813" s="4"/>
      <c r="C813" s="4"/>
      <c r="D813" s="5"/>
    </row>
    <row r="814" spans="2:4" ht="12.75" x14ac:dyDescent="0.2">
      <c r="B814" s="4"/>
      <c r="C814" s="4"/>
      <c r="D814" s="5"/>
    </row>
    <row r="815" spans="2:4" ht="12.75" x14ac:dyDescent="0.2">
      <c r="B815" s="4"/>
      <c r="C815" s="4"/>
      <c r="D815" s="5"/>
    </row>
    <row r="816" spans="2:4" ht="12.75" x14ac:dyDescent="0.2">
      <c r="B816" s="4"/>
      <c r="C816" s="4"/>
      <c r="D816" s="5"/>
    </row>
    <row r="817" spans="2:4" ht="12.75" x14ac:dyDescent="0.2">
      <c r="B817" s="4"/>
      <c r="C817" s="4"/>
      <c r="D817" s="5"/>
    </row>
    <row r="818" spans="2:4" ht="12.75" x14ac:dyDescent="0.2">
      <c r="B818" s="4"/>
      <c r="C818" s="4"/>
      <c r="D818" s="5"/>
    </row>
    <row r="819" spans="2:4" ht="12.75" x14ac:dyDescent="0.2">
      <c r="B819" s="4"/>
      <c r="C819" s="4"/>
      <c r="D819" s="5"/>
    </row>
    <row r="820" spans="2:4" ht="12.75" x14ac:dyDescent="0.2">
      <c r="B820" s="4"/>
      <c r="C820" s="4"/>
      <c r="D820" s="5"/>
    </row>
    <row r="821" spans="2:4" ht="12.75" x14ac:dyDescent="0.2">
      <c r="B821" s="4"/>
      <c r="C821" s="4"/>
      <c r="D821" s="5"/>
    </row>
    <row r="822" spans="2:4" ht="12.75" x14ac:dyDescent="0.2">
      <c r="B822" s="4"/>
      <c r="C822" s="4"/>
      <c r="D822" s="5"/>
    </row>
    <row r="823" spans="2:4" ht="12.75" x14ac:dyDescent="0.2">
      <c r="B823" s="4"/>
      <c r="C823" s="4"/>
      <c r="D823" s="5"/>
    </row>
    <row r="824" spans="2:4" ht="12.75" x14ac:dyDescent="0.2">
      <c r="B824" s="4"/>
      <c r="C824" s="4"/>
      <c r="D824" s="5"/>
    </row>
    <row r="825" spans="2:4" ht="12.75" x14ac:dyDescent="0.2">
      <c r="B825" s="4"/>
      <c r="C825" s="4"/>
      <c r="D825" s="5"/>
    </row>
    <row r="826" spans="2:4" ht="12.75" x14ac:dyDescent="0.2">
      <c r="B826" s="4"/>
      <c r="C826" s="4"/>
      <c r="D826" s="5"/>
    </row>
    <row r="827" spans="2:4" ht="12.75" x14ac:dyDescent="0.2">
      <c r="B827" s="4"/>
      <c r="C827" s="4"/>
      <c r="D827" s="5"/>
    </row>
    <row r="828" spans="2:4" ht="12.75" x14ac:dyDescent="0.2">
      <c r="B828" s="4"/>
      <c r="C828" s="4"/>
      <c r="D828" s="5"/>
    </row>
    <row r="829" spans="2:4" ht="12.75" x14ac:dyDescent="0.2">
      <c r="B829" s="4"/>
      <c r="C829" s="4"/>
      <c r="D829" s="5"/>
    </row>
    <row r="830" spans="2:4" ht="12.75" x14ac:dyDescent="0.2">
      <c r="B830" s="4"/>
      <c r="C830" s="4"/>
      <c r="D830" s="5"/>
    </row>
    <row r="831" spans="2:4" ht="12.75" x14ac:dyDescent="0.2">
      <c r="B831" s="4"/>
      <c r="C831" s="4"/>
      <c r="D831" s="5"/>
    </row>
    <row r="832" spans="2:4" ht="12.75" x14ac:dyDescent="0.2">
      <c r="B832" s="4"/>
      <c r="C832" s="4"/>
      <c r="D832" s="5"/>
    </row>
    <row r="833" spans="2:4" ht="12.75" x14ac:dyDescent="0.2">
      <c r="B833" s="4"/>
      <c r="C833" s="4"/>
      <c r="D833" s="5"/>
    </row>
    <row r="834" spans="2:4" ht="12.75" x14ac:dyDescent="0.2">
      <c r="B834" s="4"/>
      <c r="C834" s="4"/>
      <c r="D834" s="5"/>
    </row>
    <row r="835" spans="2:4" ht="12.75" x14ac:dyDescent="0.2">
      <c r="B835" s="4"/>
      <c r="C835" s="4"/>
      <c r="D835" s="5"/>
    </row>
    <row r="836" spans="2:4" ht="12.75" x14ac:dyDescent="0.2">
      <c r="B836" s="4"/>
      <c r="C836" s="4"/>
      <c r="D836" s="5"/>
    </row>
    <row r="837" spans="2:4" ht="12.75" x14ac:dyDescent="0.2">
      <c r="B837" s="4"/>
      <c r="C837" s="4"/>
      <c r="D837" s="5"/>
    </row>
    <row r="838" spans="2:4" ht="12.75" x14ac:dyDescent="0.2">
      <c r="B838" s="4"/>
      <c r="C838" s="4"/>
      <c r="D838" s="5"/>
    </row>
    <row r="839" spans="2:4" ht="12.75" x14ac:dyDescent="0.2">
      <c r="B839" s="4"/>
      <c r="C839" s="4"/>
      <c r="D839" s="5"/>
    </row>
    <row r="840" spans="2:4" ht="12.75" x14ac:dyDescent="0.2">
      <c r="B840" s="4"/>
      <c r="C840" s="4"/>
      <c r="D840" s="5"/>
    </row>
    <row r="841" spans="2:4" ht="12.75" x14ac:dyDescent="0.2">
      <c r="B841" s="4"/>
      <c r="C841" s="4"/>
      <c r="D841" s="5"/>
    </row>
    <row r="842" spans="2:4" ht="12.75" x14ac:dyDescent="0.2">
      <c r="B842" s="4"/>
      <c r="C842" s="4"/>
      <c r="D842" s="5"/>
    </row>
    <row r="843" spans="2:4" ht="12.75" x14ac:dyDescent="0.2">
      <c r="B843" s="4"/>
      <c r="C843" s="4"/>
      <c r="D843" s="5"/>
    </row>
    <row r="844" spans="2:4" ht="12.75" x14ac:dyDescent="0.2">
      <c r="B844" s="4"/>
      <c r="C844" s="4"/>
      <c r="D844" s="5"/>
    </row>
    <row r="845" spans="2:4" ht="12.75" x14ac:dyDescent="0.2">
      <c r="B845" s="4"/>
      <c r="C845" s="4"/>
      <c r="D845" s="5"/>
    </row>
    <row r="846" spans="2:4" ht="12.75" x14ac:dyDescent="0.2">
      <c r="B846" s="4"/>
      <c r="C846" s="4"/>
      <c r="D846" s="5"/>
    </row>
    <row r="847" spans="2:4" ht="12.75" x14ac:dyDescent="0.2">
      <c r="B847" s="4"/>
      <c r="C847" s="4"/>
      <c r="D847" s="5"/>
    </row>
    <row r="848" spans="2:4" ht="12.75" x14ac:dyDescent="0.2">
      <c r="B848" s="4"/>
      <c r="C848" s="4"/>
      <c r="D848" s="5"/>
    </row>
    <row r="849" spans="2:4" ht="12.75" x14ac:dyDescent="0.2">
      <c r="B849" s="4"/>
      <c r="C849" s="4"/>
      <c r="D849" s="5"/>
    </row>
    <row r="850" spans="2:4" ht="12.75" x14ac:dyDescent="0.2">
      <c r="B850" s="4"/>
      <c r="C850" s="4"/>
      <c r="D850" s="5"/>
    </row>
    <row r="851" spans="2:4" ht="12.75" x14ac:dyDescent="0.2">
      <c r="B851" s="4"/>
      <c r="C851" s="4"/>
      <c r="D851" s="5"/>
    </row>
    <row r="852" spans="2:4" ht="12.75" x14ac:dyDescent="0.2">
      <c r="B852" s="4"/>
      <c r="C852" s="4"/>
      <c r="D852" s="5"/>
    </row>
    <row r="853" spans="2:4" ht="12.75" x14ac:dyDescent="0.2">
      <c r="B853" s="4"/>
      <c r="C853" s="4"/>
      <c r="D853" s="5"/>
    </row>
    <row r="854" spans="2:4" ht="12.75" x14ac:dyDescent="0.2">
      <c r="B854" s="4"/>
      <c r="C854" s="4"/>
      <c r="D854" s="5"/>
    </row>
    <row r="855" spans="2:4" ht="12.75" x14ac:dyDescent="0.2">
      <c r="B855" s="4"/>
      <c r="C855" s="4"/>
      <c r="D855" s="5"/>
    </row>
    <row r="856" spans="2:4" ht="12.75" x14ac:dyDescent="0.2">
      <c r="B856" s="4"/>
      <c r="C856" s="4"/>
      <c r="D856" s="5"/>
    </row>
    <row r="857" spans="2:4" ht="12.75" x14ac:dyDescent="0.2">
      <c r="B857" s="4"/>
      <c r="C857" s="4"/>
      <c r="D857" s="5"/>
    </row>
    <row r="858" spans="2:4" ht="12.75" x14ac:dyDescent="0.2">
      <c r="B858" s="4"/>
      <c r="C858" s="4"/>
      <c r="D858" s="5"/>
    </row>
    <row r="859" spans="2:4" ht="12.75" x14ac:dyDescent="0.2">
      <c r="B859" s="4"/>
      <c r="C859" s="4"/>
      <c r="D859" s="5"/>
    </row>
    <row r="860" spans="2:4" ht="12.75" x14ac:dyDescent="0.2">
      <c r="B860" s="4"/>
      <c r="C860" s="4"/>
      <c r="D860" s="5"/>
    </row>
    <row r="861" spans="2:4" ht="12.75" x14ac:dyDescent="0.2">
      <c r="B861" s="4"/>
      <c r="C861" s="4"/>
      <c r="D861" s="5"/>
    </row>
    <row r="862" spans="2:4" ht="12.75" x14ac:dyDescent="0.2">
      <c r="B862" s="4"/>
      <c r="C862" s="4"/>
      <c r="D862" s="5"/>
    </row>
    <row r="863" spans="2:4" ht="12.75" x14ac:dyDescent="0.2">
      <c r="B863" s="4"/>
      <c r="C863" s="4"/>
      <c r="D863" s="5"/>
    </row>
    <row r="864" spans="2:4" ht="12.75" x14ac:dyDescent="0.2">
      <c r="B864" s="4"/>
      <c r="C864" s="4"/>
      <c r="D864" s="5"/>
    </row>
    <row r="865" spans="2:4" ht="12.75" x14ac:dyDescent="0.2">
      <c r="B865" s="4"/>
      <c r="C865" s="4"/>
      <c r="D865" s="5"/>
    </row>
    <row r="866" spans="2:4" ht="12.75" x14ac:dyDescent="0.2">
      <c r="B866" s="4"/>
      <c r="C866" s="4"/>
      <c r="D866" s="5"/>
    </row>
    <row r="867" spans="2:4" ht="12.75" x14ac:dyDescent="0.2">
      <c r="B867" s="4"/>
      <c r="C867" s="4"/>
      <c r="D867" s="5"/>
    </row>
    <row r="868" spans="2:4" ht="12.75" x14ac:dyDescent="0.2">
      <c r="B868" s="4"/>
      <c r="C868" s="4"/>
      <c r="D868" s="5"/>
    </row>
    <row r="869" spans="2:4" ht="12.75" x14ac:dyDescent="0.2">
      <c r="B869" s="4"/>
      <c r="C869" s="4"/>
      <c r="D869" s="5"/>
    </row>
    <row r="870" spans="2:4" ht="12.75" x14ac:dyDescent="0.2">
      <c r="B870" s="4"/>
      <c r="C870" s="4"/>
      <c r="D870" s="5"/>
    </row>
    <row r="871" spans="2:4" ht="12.75" x14ac:dyDescent="0.2">
      <c r="B871" s="4"/>
      <c r="C871" s="4"/>
      <c r="D871" s="5"/>
    </row>
    <row r="872" spans="2:4" ht="12.75" x14ac:dyDescent="0.2">
      <c r="B872" s="4"/>
      <c r="C872" s="4"/>
      <c r="D872" s="5"/>
    </row>
    <row r="873" spans="2:4" ht="12.75" x14ac:dyDescent="0.2">
      <c r="B873" s="4"/>
      <c r="C873" s="4"/>
      <c r="D873" s="5"/>
    </row>
    <row r="874" spans="2:4" ht="12.75" x14ac:dyDescent="0.2">
      <c r="B874" s="4"/>
      <c r="C874" s="4"/>
      <c r="D874" s="5"/>
    </row>
    <row r="875" spans="2:4" ht="12.75" x14ac:dyDescent="0.2">
      <c r="B875" s="4"/>
      <c r="C875" s="4"/>
      <c r="D875" s="5"/>
    </row>
    <row r="876" spans="2:4" ht="12.75" x14ac:dyDescent="0.2">
      <c r="B876" s="4"/>
      <c r="C876" s="4"/>
      <c r="D876" s="5"/>
    </row>
    <row r="877" spans="2:4" ht="12.75" x14ac:dyDescent="0.2">
      <c r="B877" s="4"/>
      <c r="C877" s="4"/>
      <c r="D877" s="5"/>
    </row>
    <row r="878" spans="2:4" ht="12.75" x14ac:dyDescent="0.2">
      <c r="B878" s="4"/>
      <c r="C878" s="4"/>
      <c r="D878" s="5"/>
    </row>
    <row r="879" spans="2:4" ht="12.75" x14ac:dyDescent="0.2">
      <c r="B879" s="4"/>
      <c r="C879" s="4"/>
      <c r="D879" s="5"/>
    </row>
    <row r="880" spans="2:4" ht="12.75" x14ac:dyDescent="0.2">
      <c r="B880" s="4"/>
      <c r="C880" s="4"/>
      <c r="D880" s="5"/>
    </row>
    <row r="881" spans="2:4" ht="12.75" x14ac:dyDescent="0.2">
      <c r="B881" s="4"/>
      <c r="C881" s="4"/>
      <c r="D881" s="5"/>
    </row>
    <row r="882" spans="2:4" ht="12.75" x14ac:dyDescent="0.2">
      <c r="B882" s="4"/>
      <c r="C882" s="4"/>
      <c r="D882" s="5"/>
    </row>
    <row r="883" spans="2:4" ht="12.75" x14ac:dyDescent="0.2">
      <c r="B883" s="4"/>
      <c r="C883" s="4"/>
      <c r="D883" s="5"/>
    </row>
    <row r="884" spans="2:4" ht="12.75" x14ac:dyDescent="0.2">
      <c r="B884" s="4"/>
      <c r="C884" s="4"/>
      <c r="D884" s="5"/>
    </row>
    <row r="885" spans="2:4" ht="12.75" x14ac:dyDescent="0.2">
      <c r="B885" s="4"/>
      <c r="C885" s="4"/>
      <c r="D885" s="5"/>
    </row>
    <row r="886" spans="2:4" ht="12.75" x14ac:dyDescent="0.2">
      <c r="B886" s="4"/>
      <c r="C886" s="4"/>
      <c r="D886" s="5"/>
    </row>
    <row r="887" spans="2:4" ht="12.75" x14ac:dyDescent="0.2">
      <c r="B887" s="4"/>
      <c r="C887" s="4"/>
      <c r="D887" s="5"/>
    </row>
    <row r="888" spans="2:4" ht="12.75" x14ac:dyDescent="0.2">
      <c r="B888" s="4"/>
      <c r="C888" s="4"/>
      <c r="D888" s="5"/>
    </row>
    <row r="889" spans="2:4" ht="12.75" x14ac:dyDescent="0.2">
      <c r="B889" s="4"/>
      <c r="C889" s="4"/>
      <c r="D889" s="5"/>
    </row>
    <row r="890" spans="2:4" ht="12.75" x14ac:dyDescent="0.2">
      <c r="B890" s="4"/>
      <c r="C890" s="4"/>
      <c r="D890" s="5"/>
    </row>
    <row r="891" spans="2:4" ht="12.75" x14ac:dyDescent="0.2">
      <c r="B891" s="4"/>
      <c r="C891" s="4"/>
      <c r="D891" s="5"/>
    </row>
    <row r="892" spans="2:4" ht="12.75" x14ac:dyDescent="0.2">
      <c r="B892" s="4"/>
      <c r="C892" s="4"/>
      <c r="D892" s="5"/>
    </row>
    <row r="893" spans="2:4" ht="12.75" x14ac:dyDescent="0.2">
      <c r="B893" s="4"/>
      <c r="C893" s="4"/>
      <c r="D893" s="5"/>
    </row>
    <row r="894" spans="2:4" ht="12.75" x14ac:dyDescent="0.2">
      <c r="B894" s="4"/>
      <c r="C894" s="4"/>
      <c r="D894" s="5"/>
    </row>
    <row r="895" spans="2:4" ht="12.75" x14ac:dyDescent="0.2">
      <c r="B895" s="4"/>
      <c r="C895" s="4"/>
      <c r="D895" s="5"/>
    </row>
    <row r="896" spans="2:4" ht="12.75" x14ac:dyDescent="0.2">
      <c r="B896" s="4"/>
      <c r="C896" s="4"/>
      <c r="D896" s="5"/>
    </row>
    <row r="897" spans="2:4" ht="12.75" x14ac:dyDescent="0.2">
      <c r="B897" s="4"/>
      <c r="C897" s="4"/>
      <c r="D897" s="5"/>
    </row>
    <row r="898" spans="2:4" ht="12.75" x14ac:dyDescent="0.2">
      <c r="B898" s="4"/>
      <c r="C898" s="4"/>
      <c r="D898" s="5"/>
    </row>
    <row r="899" spans="2:4" ht="12.75" x14ac:dyDescent="0.2">
      <c r="B899" s="4"/>
      <c r="C899" s="4"/>
      <c r="D899" s="5"/>
    </row>
    <row r="900" spans="2:4" ht="12.75" x14ac:dyDescent="0.2">
      <c r="B900" s="4"/>
      <c r="C900" s="4"/>
      <c r="D900" s="5"/>
    </row>
    <row r="901" spans="2:4" ht="12.75" x14ac:dyDescent="0.2">
      <c r="B901" s="4"/>
      <c r="C901" s="4"/>
      <c r="D901" s="5"/>
    </row>
    <row r="902" spans="2:4" ht="12.75" x14ac:dyDescent="0.2">
      <c r="B902" s="4"/>
      <c r="C902" s="4"/>
      <c r="D902" s="5"/>
    </row>
    <row r="903" spans="2:4" ht="12.75" x14ac:dyDescent="0.2">
      <c r="B903" s="4"/>
      <c r="C903" s="4"/>
      <c r="D903" s="5"/>
    </row>
    <row r="904" spans="2:4" ht="12.75" x14ac:dyDescent="0.2">
      <c r="B904" s="4"/>
      <c r="C904" s="4"/>
      <c r="D904" s="5"/>
    </row>
    <row r="905" spans="2:4" ht="12.75" x14ac:dyDescent="0.2">
      <c r="B905" s="4"/>
      <c r="C905" s="4"/>
      <c r="D905" s="5"/>
    </row>
    <row r="906" spans="2:4" ht="12.75" x14ac:dyDescent="0.2">
      <c r="B906" s="4"/>
      <c r="C906" s="4"/>
      <c r="D906" s="5"/>
    </row>
    <row r="907" spans="2:4" ht="12.75" x14ac:dyDescent="0.2">
      <c r="B907" s="4"/>
      <c r="C907" s="4"/>
      <c r="D907" s="5"/>
    </row>
    <row r="908" spans="2:4" ht="12.75" x14ac:dyDescent="0.2">
      <c r="B908" s="4"/>
      <c r="C908" s="4"/>
      <c r="D908" s="5"/>
    </row>
    <row r="909" spans="2:4" ht="12.75" x14ac:dyDescent="0.2">
      <c r="B909" s="4"/>
      <c r="C909" s="4"/>
      <c r="D909" s="5"/>
    </row>
    <row r="910" spans="2:4" ht="12.75" x14ac:dyDescent="0.2">
      <c r="B910" s="4"/>
      <c r="C910" s="4"/>
      <c r="D910" s="5"/>
    </row>
    <row r="911" spans="2:4" ht="12.75" x14ac:dyDescent="0.2">
      <c r="B911" s="4"/>
      <c r="C911" s="4"/>
      <c r="D911" s="5"/>
    </row>
    <row r="912" spans="2:4" ht="12.75" x14ac:dyDescent="0.2">
      <c r="B912" s="4"/>
      <c r="C912" s="4"/>
      <c r="D912" s="5"/>
    </row>
    <row r="913" spans="2:4" ht="12.75" x14ac:dyDescent="0.2">
      <c r="B913" s="4"/>
      <c r="C913" s="4"/>
      <c r="D913" s="5"/>
    </row>
    <row r="914" spans="2:4" ht="12.75" x14ac:dyDescent="0.2">
      <c r="B914" s="4"/>
      <c r="C914" s="4"/>
      <c r="D914" s="5"/>
    </row>
    <row r="915" spans="2:4" ht="12.75" x14ac:dyDescent="0.2">
      <c r="B915" s="4"/>
      <c r="C915" s="4"/>
      <c r="D915" s="5"/>
    </row>
    <row r="916" spans="2:4" ht="12.75" x14ac:dyDescent="0.2">
      <c r="B916" s="4"/>
      <c r="C916" s="4"/>
      <c r="D916" s="5"/>
    </row>
    <row r="917" spans="2:4" ht="12.75" x14ac:dyDescent="0.2">
      <c r="B917" s="4"/>
      <c r="C917" s="4"/>
      <c r="D917" s="5"/>
    </row>
    <row r="918" spans="2:4" ht="12.75" x14ac:dyDescent="0.2">
      <c r="B918" s="4"/>
      <c r="C918" s="4"/>
      <c r="D918" s="5"/>
    </row>
    <row r="919" spans="2:4" ht="12.75" x14ac:dyDescent="0.2">
      <c r="B919" s="4"/>
      <c r="C919" s="4"/>
      <c r="D919" s="5"/>
    </row>
    <row r="920" spans="2:4" ht="12.75" x14ac:dyDescent="0.2">
      <c r="B920" s="4"/>
      <c r="C920" s="4"/>
      <c r="D920" s="5"/>
    </row>
    <row r="921" spans="2:4" ht="12.75" x14ac:dyDescent="0.2">
      <c r="B921" s="4"/>
      <c r="C921" s="4"/>
      <c r="D921" s="5"/>
    </row>
    <row r="922" spans="2:4" ht="12.75" x14ac:dyDescent="0.2">
      <c r="B922" s="4"/>
      <c r="C922" s="4"/>
      <c r="D922" s="5"/>
    </row>
    <row r="923" spans="2:4" ht="12.75" x14ac:dyDescent="0.2">
      <c r="B923" s="4"/>
      <c r="C923" s="4"/>
      <c r="D923" s="5"/>
    </row>
    <row r="924" spans="2:4" ht="12.75" x14ac:dyDescent="0.2">
      <c r="B924" s="4"/>
      <c r="C924" s="4"/>
      <c r="D924" s="5"/>
    </row>
    <row r="925" spans="2:4" ht="12.75" x14ac:dyDescent="0.2">
      <c r="B925" s="4"/>
      <c r="C925" s="4"/>
      <c r="D925" s="5"/>
    </row>
    <row r="926" spans="2:4" ht="12.75" x14ac:dyDescent="0.2">
      <c r="B926" s="4"/>
      <c r="C926" s="4"/>
      <c r="D926" s="5"/>
    </row>
    <row r="927" spans="2:4" ht="12.75" x14ac:dyDescent="0.2">
      <c r="B927" s="4"/>
      <c r="C927" s="4"/>
      <c r="D927" s="5"/>
    </row>
    <row r="928" spans="2:4" ht="12.75" x14ac:dyDescent="0.2">
      <c r="B928" s="4"/>
      <c r="C928" s="4"/>
      <c r="D928" s="5"/>
    </row>
    <row r="929" spans="2:4" ht="12.75" x14ac:dyDescent="0.2">
      <c r="B929" s="4"/>
      <c r="C929" s="4"/>
      <c r="D929" s="5"/>
    </row>
    <row r="930" spans="2:4" ht="12.75" x14ac:dyDescent="0.2">
      <c r="B930" s="4"/>
      <c r="C930" s="4"/>
      <c r="D930" s="5"/>
    </row>
    <row r="931" spans="2:4" ht="12.75" x14ac:dyDescent="0.2">
      <c r="B931" s="4"/>
      <c r="C931" s="4"/>
      <c r="D931" s="5"/>
    </row>
    <row r="932" spans="2:4" ht="12.75" x14ac:dyDescent="0.2">
      <c r="B932" s="4"/>
      <c r="C932" s="4"/>
      <c r="D932" s="5"/>
    </row>
    <row r="933" spans="2:4" ht="12.75" x14ac:dyDescent="0.2">
      <c r="B933" s="4"/>
      <c r="C933" s="4"/>
      <c r="D933" s="5"/>
    </row>
    <row r="934" spans="2:4" ht="12.75" x14ac:dyDescent="0.2">
      <c r="B934" s="4"/>
      <c r="C934" s="4"/>
      <c r="D934" s="5"/>
    </row>
    <row r="935" spans="2:4" ht="12.75" x14ac:dyDescent="0.2">
      <c r="B935" s="4"/>
      <c r="C935" s="4"/>
      <c r="D935" s="5"/>
    </row>
    <row r="936" spans="2:4" ht="12.75" x14ac:dyDescent="0.2">
      <c r="B936" s="4"/>
      <c r="C936" s="4"/>
      <c r="D936" s="5"/>
    </row>
    <row r="937" spans="2:4" ht="12.75" x14ac:dyDescent="0.2">
      <c r="B937" s="4"/>
      <c r="C937" s="4"/>
      <c r="D937" s="5"/>
    </row>
    <row r="938" spans="2:4" ht="12.75" x14ac:dyDescent="0.2">
      <c r="B938" s="4"/>
      <c r="C938" s="4"/>
      <c r="D938" s="5"/>
    </row>
    <row r="939" spans="2:4" ht="12.75" x14ac:dyDescent="0.2">
      <c r="B939" s="4"/>
      <c r="C939" s="4"/>
      <c r="D939" s="5"/>
    </row>
    <row r="940" spans="2:4" ht="12.75" x14ac:dyDescent="0.2">
      <c r="B940" s="4"/>
      <c r="C940" s="4"/>
      <c r="D940" s="5"/>
    </row>
    <row r="941" spans="2:4" ht="12.75" x14ac:dyDescent="0.2">
      <c r="B941" s="4"/>
      <c r="C941" s="4"/>
      <c r="D941" s="5"/>
    </row>
    <row r="942" spans="2:4" ht="12.75" x14ac:dyDescent="0.2">
      <c r="B942" s="4"/>
      <c r="C942" s="4"/>
      <c r="D942" s="5"/>
    </row>
    <row r="943" spans="2:4" ht="12.75" x14ac:dyDescent="0.2">
      <c r="B943" s="4"/>
      <c r="C943" s="4"/>
      <c r="D943" s="5"/>
    </row>
    <row r="944" spans="2:4" ht="12.75" x14ac:dyDescent="0.2">
      <c r="B944" s="4"/>
      <c r="C944" s="4"/>
      <c r="D944" s="5"/>
    </row>
    <row r="945" spans="2:4" ht="12.75" x14ac:dyDescent="0.2">
      <c r="B945" s="4"/>
      <c r="C945" s="4"/>
      <c r="D945" s="5"/>
    </row>
    <row r="946" spans="2:4" ht="12.75" x14ac:dyDescent="0.2">
      <c r="B946" s="4"/>
      <c r="C946" s="4"/>
      <c r="D946" s="5"/>
    </row>
    <row r="947" spans="2:4" ht="12.75" x14ac:dyDescent="0.2">
      <c r="B947" s="4"/>
      <c r="C947" s="4"/>
      <c r="D947" s="5"/>
    </row>
    <row r="948" spans="2:4" ht="12.75" x14ac:dyDescent="0.2">
      <c r="B948" s="4"/>
      <c r="C948" s="4"/>
      <c r="D948" s="5"/>
    </row>
    <row r="949" spans="2:4" ht="12.75" x14ac:dyDescent="0.2">
      <c r="B949" s="4"/>
      <c r="C949" s="4"/>
      <c r="D949" s="5"/>
    </row>
    <row r="950" spans="2:4" ht="12.75" x14ac:dyDescent="0.2">
      <c r="B950" s="4"/>
      <c r="C950" s="4"/>
      <c r="D950" s="5"/>
    </row>
    <row r="951" spans="2:4" ht="12.75" x14ac:dyDescent="0.2">
      <c r="B951" s="4"/>
      <c r="C951" s="4"/>
      <c r="D951" s="5"/>
    </row>
    <row r="952" spans="2:4" ht="12.75" x14ac:dyDescent="0.2">
      <c r="B952" s="4"/>
      <c r="C952" s="4"/>
      <c r="D952" s="5"/>
    </row>
    <row r="953" spans="2:4" ht="12.75" x14ac:dyDescent="0.2">
      <c r="B953" s="4"/>
      <c r="C953" s="4"/>
      <c r="D953" s="5"/>
    </row>
    <row r="954" spans="2:4" ht="12.75" x14ac:dyDescent="0.2">
      <c r="B954" s="4"/>
      <c r="C954" s="4"/>
      <c r="D954" s="5"/>
    </row>
    <row r="955" spans="2:4" ht="12.75" x14ac:dyDescent="0.2">
      <c r="B955" s="4"/>
      <c r="C955" s="4"/>
      <c r="D955" s="5"/>
    </row>
    <row r="956" spans="2:4" ht="12.75" x14ac:dyDescent="0.2">
      <c r="B956" s="4"/>
      <c r="C956" s="4"/>
      <c r="D956" s="5"/>
    </row>
    <row r="957" spans="2:4" ht="12.75" x14ac:dyDescent="0.2">
      <c r="B957" s="4"/>
      <c r="C957" s="4"/>
      <c r="D957" s="5"/>
    </row>
    <row r="958" spans="2:4" ht="12.75" x14ac:dyDescent="0.2">
      <c r="B958" s="4"/>
      <c r="C958" s="4"/>
      <c r="D958" s="5"/>
    </row>
    <row r="959" spans="2:4" ht="12.75" x14ac:dyDescent="0.2">
      <c r="B959" s="4"/>
      <c r="C959" s="4"/>
      <c r="D959" s="5"/>
    </row>
    <row r="960" spans="2:4" ht="12.75" x14ac:dyDescent="0.2">
      <c r="B960" s="4"/>
      <c r="C960" s="4"/>
      <c r="D960" s="5"/>
    </row>
    <row r="961" spans="2:4" ht="12.75" x14ac:dyDescent="0.2">
      <c r="B961" s="4"/>
      <c r="C961" s="4"/>
      <c r="D961" s="5"/>
    </row>
    <row r="962" spans="2:4" ht="12.75" x14ac:dyDescent="0.2">
      <c r="B962" s="4"/>
      <c r="C962" s="4"/>
      <c r="D962" s="5"/>
    </row>
    <row r="963" spans="2:4" ht="12.75" x14ac:dyDescent="0.2">
      <c r="B963" s="4"/>
      <c r="C963" s="4"/>
      <c r="D963" s="5"/>
    </row>
    <row r="964" spans="2:4" ht="12.75" x14ac:dyDescent="0.2">
      <c r="B964" s="4"/>
      <c r="C964" s="4"/>
      <c r="D964" s="5"/>
    </row>
    <row r="965" spans="2:4" ht="12.75" x14ac:dyDescent="0.2">
      <c r="B965" s="4"/>
      <c r="C965" s="4"/>
      <c r="D965" s="5"/>
    </row>
    <row r="966" spans="2:4" ht="12.75" x14ac:dyDescent="0.2">
      <c r="B966" s="4"/>
      <c r="C966" s="4"/>
      <c r="D966" s="5"/>
    </row>
    <row r="967" spans="2:4" ht="12.75" x14ac:dyDescent="0.2">
      <c r="B967" s="4"/>
      <c r="C967" s="4"/>
      <c r="D967" s="5"/>
    </row>
    <row r="968" spans="2:4" ht="12.75" x14ac:dyDescent="0.2">
      <c r="B968" s="4"/>
      <c r="C968" s="4"/>
      <c r="D968" s="5"/>
    </row>
    <row r="969" spans="2:4" ht="12.75" x14ac:dyDescent="0.2">
      <c r="B969" s="4"/>
      <c r="C969" s="4"/>
      <c r="D969" s="5"/>
    </row>
    <row r="970" spans="2:4" ht="12.75" x14ac:dyDescent="0.2">
      <c r="B970" s="4"/>
      <c r="C970" s="4"/>
      <c r="D970" s="5"/>
    </row>
    <row r="971" spans="2:4" ht="12.75" x14ac:dyDescent="0.2">
      <c r="B971" s="4"/>
      <c r="C971" s="4"/>
      <c r="D971" s="5"/>
    </row>
    <row r="972" spans="2:4" ht="12.75" x14ac:dyDescent="0.2">
      <c r="B972" s="4"/>
      <c r="C972" s="4"/>
      <c r="D972" s="5"/>
    </row>
    <row r="973" spans="2:4" ht="12.75" x14ac:dyDescent="0.2">
      <c r="B973" s="4"/>
      <c r="C973" s="4"/>
      <c r="D973" s="5"/>
    </row>
    <row r="974" spans="2:4" ht="12.75" x14ac:dyDescent="0.2">
      <c r="B974" s="4"/>
      <c r="C974" s="4"/>
      <c r="D974" s="5"/>
    </row>
    <row r="975" spans="2:4" ht="12.75" x14ac:dyDescent="0.2">
      <c r="B975" s="4"/>
      <c r="C975" s="4"/>
      <c r="D975" s="5"/>
    </row>
    <row r="976" spans="2:4" ht="12.75" x14ac:dyDescent="0.2">
      <c r="B976" s="4"/>
      <c r="C976" s="4"/>
      <c r="D976" s="5"/>
    </row>
    <row r="977" spans="2:4" ht="12.75" x14ac:dyDescent="0.2">
      <c r="B977" s="4"/>
      <c r="C977" s="4"/>
      <c r="D977" s="5"/>
    </row>
    <row r="978" spans="2:4" ht="12.75" x14ac:dyDescent="0.2">
      <c r="B978" s="4"/>
      <c r="C978" s="4"/>
      <c r="D978" s="5"/>
    </row>
    <row r="979" spans="2:4" ht="12.75" x14ac:dyDescent="0.2">
      <c r="B979" s="4"/>
      <c r="C979" s="4"/>
      <c r="D979" s="5"/>
    </row>
    <row r="980" spans="2:4" ht="12.75" x14ac:dyDescent="0.2">
      <c r="B980" s="4"/>
      <c r="C980" s="4"/>
      <c r="D980" s="5"/>
    </row>
    <row r="981" spans="2:4" ht="12.75" x14ac:dyDescent="0.2">
      <c r="B981" s="4"/>
      <c r="C981" s="4"/>
      <c r="D981" s="5"/>
    </row>
    <row r="982" spans="2:4" ht="12.75" x14ac:dyDescent="0.2">
      <c r="B982" s="4"/>
      <c r="C982" s="4"/>
      <c r="D982" s="5"/>
    </row>
    <row r="983" spans="2:4" ht="12.75" x14ac:dyDescent="0.2">
      <c r="B983" s="4"/>
      <c r="C983" s="4"/>
      <c r="D983" s="5"/>
    </row>
    <row r="984" spans="2:4" ht="12.75" x14ac:dyDescent="0.2">
      <c r="B984" s="4"/>
      <c r="C984" s="4"/>
      <c r="D984" s="5"/>
    </row>
    <row r="985" spans="2:4" ht="12.75" x14ac:dyDescent="0.2">
      <c r="B985" s="4"/>
      <c r="C985" s="4"/>
      <c r="D985" s="5"/>
    </row>
    <row r="986" spans="2:4" ht="12.75" x14ac:dyDescent="0.2">
      <c r="B986" s="4"/>
      <c r="C986" s="4"/>
      <c r="D986" s="5"/>
    </row>
    <row r="987" spans="2:4" ht="12.75" x14ac:dyDescent="0.2">
      <c r="B987" s="4"/>
      <c r="C987" s="4"/>
      <c r="D987" s="5"/>
    </row>
    <row r="988" spans="2:4" ht="12.75" x14ac:dyDescent="0.2">
      <c r="B988" s="4"/>
      <c r="C988" s="4"/>
      <c r="D988" s="5"/>
    </row>
    <row r="989" spans="2:4" ht="12.75" x14ac:dyDescent="0.2">
      <c r="B989" s="4"/>
      <c r="C989" s="4"/>
      <c r="D989" s="5"/>
    </row>
    <row r="990" spans="2:4" ht="12.75" x14ac:dyDescent="0.2">
      <c r="B990" s="4"/>
      <c r="C990" s="4"/>
      <c r="D990" s="5"/>
    </row>
    <row r="991" spans="2:4" ht="12.75" x14ac:dyDescent="0.2">
      <c r="B991" s="4"/>
      <c r="C991" s="4"/>
      <c r="D991" s="5"/>
    </row>
    <row r="992" spans="2:4" ht="12.75" x14ac:dyDescent="0.2">
      <c r="B992" s="4"/>
      <c r="C992" s="4"/>
      <c r="D992" s="5"/>
    </row>
    <row r="993" spans="2:4" ht="12.75" x14ac:dyDescent="0.2">
      <c r="B993" s="4"/>
      <c r="C993" s="4"/>
      <c r="D993" s="5"/>
    </row>
    <row r="994" spans="2:4" ht="12.75" x14ac:dyDescent="0.2">
      <c r="B994" s="4"/>
      <c r="C994" s="4"/>
      <c r="D994" s="5"/>
    </row>
    <row r="995" spans="2:4" ht="12.75" x14ac:dyDescent="0.2">
      <c r="B995" s="4"/>
      <c r="C995" s="4"/>
      <c r="D995" s="5"/>
    </row>
    <row r="996" spans="2:4" ht="12.75" x14ac:dyDescent="0.2">
      <c r="B996" s="4"/>
      <c r="C996" s="4"/>
      <c r="D996" s="5"/>
    </row>
    <row r="997" spans="2:4" ht="12.75" x14ac:dyDescent="0.2">
      <c r="B997" s="4"/>
      <c r="C997" s="4"/>
      <c r="D997" s="5"/>
    </row>
    <row r="998" spans="2:4" ht="12.75" x14ac:dyDescent="0.2">
      <c r="B998" s="4"/>
      <c r="C998" s="4"/>
      <c r="D998" s="5"/>
    </row>
    <row r="999" spans="2:4" ht="12.75" x14ac:dyDescent="0.2">
      <c r="B999" s="4"/>
      <c r="C999" s="4"/>
      <c r="D999" s="5"/>
    </row>
    <row r="1000" spans="2:4" ht="12.75" x14ac:dyDescent="0.2">
      <c r="B1000" s="4"/>
      <c r="C1000" s="4"/>
      <c r="D1000" s="5"/>
    </row>
    <row r="1001" spans="2:4" ht="12.75" x14ac:dyDescent="0.2">
      <c r="B1001" s="4"/>
      <c r="C1001" s="4"/>
      <c r="D1001" s="5"/>
    </row>
    <row r="1002" spans="2:4" ht="12.75" x14ac:dyDescent="0.2">
      <c r="B1002" s="4"/>
      <c r="C1002" s="4"/>
      <c r="D1002" s="5"/>
    </row>
    <row r="1003" spans="2:4" ht="12.75" x14ac:dyDescent="0.2">
      <c r="B1003" s="4"/>
      <c r="C1003" s="4"/>
      <c r="D1003" s="5"/>
    </row>
    <row r="1004" spans="2:4" ht="12.75" x14ac:dyDescent="0.2">
      <c r="B1004" s="4"/>
      <c r="C1004" s="4"/>
      <c r="D1004" s="5"/>
    </row>
    <row r="1005" spans="2:4" ht="12.75" x14ac:dyDescent="0.2">
      <c r="B1005" s="4"/>
      <c r="C1005" s="4"/>
      <c r="D1005" s="5"/>
    </row>
    <row r="1006" spans="2:4" ht="12.75" x14ac:dyDescent="0.2">
      <c r="B1006" s="4"/>
      <c r="C1006" s="4"/>
      <c r="D1006" s="5"/>
    </row>
    <row r="1007" spans="2:4" ht="12.75" x14ac:dyDescent="0.2">
      <c r="B1007" s="4"/>
      <c r="C1007" s="4"/>
      <c r="D1007" s="5"/>
    </row>
    <row r="1008" spans="2:4" ht="12.75" x14ac:dyDescent="0.2">
      <c r="B1008" s="4"/>
      <c r="C1008" s="4"/>
      <c r="D1008" s="5"/>
    </row>
    <row r="1009" spans="2:4" ht="12.75" x14ac:dyDescent="0.2">
      <c r="B1009" s="4"/>
      <c r="C1009" s="4"/>
      <c r="D1009" s="5"/>
    </row>
    <row r="1010" spans="2:4" ht="12.75" x14ac:dyDescent="0.2">
      <c r="B1010" s="4"/>
      <c r="C1010" s="4"/>
      <c r="D1010" s="5"/>
    </row>
    <row r="1011" spans="2:4" ht="12.75" x14ac:dyDescent="0.2">
      <c r="B1011" s="4"/>
      <c r="C1011" s="4"/>
      <c r="D1011" s="5"/>
    </row>
    <row r="1012" spans="2:4" ht="12.75" x14ac:dyDescent="0.2">
      <c r="B1012" s="4"/>
      <c r="C1012" s="4"/>
      <c r="D1012" s="5"/>
    </row>
    <row r="1013" spans="2:4" ht="12.75" x14ac:dyDescent="0.2">
      <c r="B1013" s="4"/>
      <c r="C1013" s="4"/>
      <c r="D1013" s="5"/>
    </row>
    <row r="1014" spans="2:4" ht="12.75" x14ac:dyDescent="0.2">
      <c r="B1014" s="4"/>
      <c r="C1014" s="4"/>
      <c r="D1014" s="5"/>
    </row>
    <row r="1015" spans="2:4" ht="12.75" x14ac:dyDescent="0.2">
      <c r="B1015" s="4"/>
      <c r="C1015" s="4"/>
      <c r="D1015" s="5"/>
    </row>
    <row r="1016" spans="2:4" ht="12.75" x14ac:dyDescent="0.2">
      <c r="B1016" s="4"/>
      <c r="C1016" s="4"/>
      <c r="D1016" s="5"/>
    </row>
    <row r="1017" spans="2:4" ht="12.75" x14ac:dyDescent="0.2">
      <c r="B1017" s="4"/>
      <c r="C1017" s="4"/>
      <c r="D1017" s="5"/>
    </row>
    <row r="1018" spans="2:4" ht="12.75" x14ac:dyDescent="0.2">
      <c r="B1018" s="4"/>
      <c r="C1018" s="4"/>
      <c r="D1018" s="5"/>
    </row>
    <row r="1019" spans="2:4" ht="12.75" x14ac:dyDescent="0.2">
      <c r="B1019" s="4"/>
      <c r="C1019" s="4"/>
      <c r="D1019" s="5"/>
    </row>
    <row r="1020" spans="2:4" ht="12.75" x14ac:dyDescent="0.2">
      <c r="B1020" s="4"/>
      <c r="C1020" s="4"/>
      <c r="D1020" s="5"/>
    </row>
    <row r="1021" spans="2:4" ht="12.75" x14ac:dyDescent="0.2">
      <c r="B1021" s="4"/>
      <c r="C1021" s="4"/>
      <c r="D1021" s="5"/>
    </row>
    <row r="1022" spans="2:4" ht="12.75" x14ac:dyDescent="0.2">
      <c r="B1022" s="4"/>
      <c r="C1022" s="4"/>
      <c r="D1022" s="5"/>
    </row>
    <row r="1023" spans="2:4" ht="12.75" x14ac:dyDescent="0.2">
      <c r="B1023" s="4"/>
      <c r="C1023" s="4"/>
      <c r="D1023" s="5"/>
    </row>
    <row r="1024" spans="2:4" ht="12.75" x14ac:dyDescent="0.2">
      <c r="B1024" s="4"/>
      <c r="C1024" s="4"/>
      <c r="D1024" s="5"/>
    </row>
    <row r="1025" spans="2:4" ht="12.75" x14ac:dyDescent="0.2">
      <c r="B1025" s="4"/>
      <c r="C1025" s="4"/>
      <c r="D1025" s="5"/>
    </row>
    <row r="1026" spans="2:4" ht="12.75" x14ac:dyDescent="0.2">
      <c r="B1026" s="4"/>
      <c r="C1026" s="4"/>
      <c r="D1026" s="5"/>
    </row>
    <row r="1027" spans="2:4" ht="12.75" x14ac:dyDescent="0.2">
      <c r="B1027" s="4"/>
      <c r="C1027" s="4"/>
      <c r="D1027" s="5"/>
    </row>
    <row r="1028" spans="2:4" ht="12.75" x14ac:dyDescent="0.2">
      <c r="B1028" s="4"/>
      <c r="C1028" s="4"/>
      <c r="D1028" s="5"/>
    </row>
    <row r="1029" spans="2:4" ht="12.75" x14ac:dyDescent="0.2">
      <c r="B1029" s="4"/>
      <c r="C1029" s="4"/>
      <c r="D1029" s="5"/>
    </row>
    <row r="1030" spans="2:4" ht="12.75" x14ac:dyDescent="0.2">
      <c r="B1030" s="4"/>
      <c r="C1030" s="4"/>
      <c r="D1030" s="5"/>
    </row>
    <row r="1031" spans="2:4" ht="12.75" x14ac:dyDescent="0.2">
      <c r="B1031" s="4"/>
      <c r="C1031" s="4"/>
      <c r="D1031" s="5"/>
    </row>
    <row r="1032" spans="2:4" ht="12.75" x14ac:dyDescent="0.2">
      <c r="B1032" s="4"/>
      <c r="C1032" s="4"/>
      <c r="D1032" s="5"/>
    </row>
    <row r="1033" spans="2:4" ht="12.75" x14ac:dyDescent="0.2">
      <c r="B1033" s="4"/>
      <c r="C1033" s="4"/>
      <c r="D1033" s="5"/>
    </row>
    <row r="1034" spans="2:4" ht="12.75" x14ac:dyDescent="0.2">
      <c r="B1034" s="4"/>
      <c r="C1034" s="4"/>
      <c r="D1034" s="5"/>
    </row>
    <row r="1035" spans="2:4" ht="12.75" x14ac:dyDescent="0.2">
      <c r="B1035" s="4"/>
      <c r="C1035" s="4"/>
      <c r="D1035" s="5"/>
    </row>
    <row r="1036" spans="2:4" ht="12.75" x14ac:dyDescent="0.2">
      <c r="B1036" s="4"/>
      <c r="C1036" s="4"/>
      <c r="D1036" s="5"/>
    </row>
    <row r="1037" spans="2:4" ht="12.75" x14ac:dyDescent="0.2">
      <c r="B1037" s="4"/>
      <c r="C1037" s="4"/>
      <c r="D1037" s="5"/>
    </row>
    <row r="1038" spans="2:4" ht="12.75" x14ac:dyDescent="0.2">
      <c r="B1038" s="4"/>
      <c r="C1038" s="4"/>
      <c r="D1038" s="5"/>
    </row>
    <row r="1039" spans="2:4" ht="12.75" x14ac:dyDescent="0.2">
      <c r="B1039" s="4"/>
      <c r="C1039" s="4"/>
      <c r="D1039" s="5"/>
    </row>
    <row r="1040" spans="2:4" ht="12.75" x14ac:dyDescent="0.2">
      <c r="B1040" s="4"/>
      <c r="C1040" s="4"/>
      <c r="D1040" s="5"/>
    </row>
    <row r="1041" spans="2:4" ht="12.75" x14ac:dyDescent="0.2">
      <c r="B1041" s="4"/>
      <c r="C1041" s="4"/>
      <c r="D1041" s="5"/>
    </row>
    <row r="1042" spans="2:4" ht="12.75" x14ac:dyDescent="0.2">
      <c r="B1042" s="4"/>
      <c r="C1042" s="4"/>
      <c r="D1042" s="5"/>
    </row>
    <row r="1043" spans="2:4" ht="12.75" x14ac:dyDescent="0.2">
      <c r="B1043" s="4"/>
      <c r="C1043" s="4"/>
      <c r="D1043" s="5"/>
    </row>
    <row r="1044" spans="2:4" ht="12.75" x14ac:dyDescent="0.2">
      <c r="B1044" s="4"/>
      <c r="C1044" s="4"/>
      <c r="D1044" s="5"/>
    </row>
    <row r="1045" spans="2:4" ht="12.75" x14ac:dyDescent="0.2">
      <c r="B1045" s="4"/>
      <c r="C1045" s="4"/>
      <c r="D1045" s="5"/>
    </row>
    <row r="1046" spans="2:4" ht="12.75" x14ac:dyDescent="0.2">
      <c r="B1046" s="4"/>
      <c r="C1046" s="4"/>
      <c r="D1046" s="5"/>
    </row>
    <row r="1047" spans="2:4" ht="12.75" x14ac:dyDescent="0.2">
      <c r="B1047" s="4"/>
      <c r="C1047" s="4"/>
      <c r="D1047" s="5"/>
    </row>
    <row r="1048" spans="2:4" ht="12.75" x14ac:dyDescent="0.2">
      <c r="B1048" s="4"/>
      <c r="C1048" s="4"/>
      <c r="D1048" s="5"/>
    </row>
    <row r="1049" spans="2:4" ht="12.75" x14ac:dyDescent="0.2">
      <c r="B1049" s="4"/>
      <c r="C1049" s="4"/>
      <c r="D1049" s="5"/>
    </row>
    <row r="1050" spans="2:4" ht="12.75" x14ac:dyDescent="0.2">
      <c r="B1050" s="4"/>
      <c r="C1050" s="4"/>
      <c r="D1050" s="5"/>
    </row>
    <row r="1051" spans="2:4" ht="12.75" x14ac:dyDescent="0.2">
      <c r="B1051" s="4"/>
      <c r="C1051" s="4"/>
      <c r="D1051" s="5"/>
    </row>
    <row r="1052" spans="2:4" ht="12.75" x14ac:dyDescent="0.2">
      <c r="B1052" s="4"/>
      <c r="C1052" s="4"/>
      <c r="D1052" s="5"/>
    </row>
    <row r="1053" spans="2:4" ht="12.75" x14ac:dyDescent="0.2">
      <c r="B1053" s="4"/>
      <c r="C1053" s="4"/>
      <c r="D1053" s="5"/>
    </row>
    <row r="1054" spans="2:4" ht="12.75" x14ac:dyDescent="0.2">
      <c r="B1054" s="4"/>
      <c r="C1054" s="4"/>
      <c r="D1054" s="5"/>
    </row>
    <row r="1055" spans="2:4" ht="12.75" x14ac:dyDescent="0.2">
      <c r="B1055" s="4"/>
      <c r="C1055" s="4"/>
      <c r="D1055" s="5"/>
    </row>
    <row r="1056" spans="2:4" ht="12.75" x14ac:dyDescent="0.2">
      <c r="B1056" s="4"/>
      <c r="C1056" s="4"/>
      <c r="D1056" s="5"/>
    </row>
    <row r="1057" spans="2:4" ht="12.75" x14ac:dyDescent="0.2">
      <c r="B1057" s="4"/>
      <c r="C1057" s="4"/>
      <c r="D1057" s="5"/>
    </row>
    <row r="1058" spans="2:4" ht="12.75" x14ac:dyDescent="0.2">
      <c r="B1058" s="4"/>
      <c r="C1058" s="4"/>
      <c r="D1058" s="5"/>
    </row>
    <row r="1059" spans="2:4" ht="12.75" x14ac:dyDescent="0.2">
      <c r="B1059" s="4"/>
      <c r="C1059" s="4"/>
      <c r="D1059" s="5"/>
    </row>
    <row r="1060" spans="2:4" ht="12.75" x14ac:dyDescent="0.2">
      <c r="B1060" s="4"/>
      <c r="C1060" s="4"/>
      <c r="D1060" s="5"/>
    </row>
    <row r="1061" spans="2:4" ht="12.75" x14ac:dyDescent="0.2">
      <c r="B1061" s="4"/>
      <c r="C1061" s="4"/>
      <c r="D1061" s="5"/>
    </row>
    <row r="1062" spans="2:4" ht="12.75" x14ac:dyDescent="0.2">
      <c r="B1062" s="4"/>
      <c r="C1062" s="4"/>
      <c r="D1062" s="5"/>
    </row>
    <row r="1063" spans="2:4" ht="12.75" x14ac:dyDescent="0.2">
      <c r="B1063" s="4"/>
      <c r="C1063" s="4"/>
      <c r="D1063" s="5"/>
    </row>
    <row r="1064" spans="2:4" ht="12.75" x14ac:dyDescent="0.2">
      <c r="B1064" s="4"/>
      <c r="C1064" s="4"/>
      <c r="D1064" s="5"/>
    </row>
    <row r="1065" spans="2:4" ht="12.75" x14ac:dyDescent="0.2">
      <c r="B1065" s="4"/>
      <c r="C1065" s="4"/>
      <c r="D1065" s="5"/>
    </row>
    <row r="1066" spans="2:4" ht="12.75" x14ac:dyDescent="0.2">
      <c r="B1066" s="4"/>
      <c r="C1066" s="4"/>
      <c r="D1066" s="5"/>
    </row>
    <row r="1067" spans="2:4" ht="12.75" x14ac:dyDescent="0.2">
      <c r="B1067" s="4"/>
      <c r="C1067" s="4"/>
      <c r="D1067" s="5"/>
    </row>
    <row r="1068" spans="2:4" ht="12.75" x14ac:dyDescent="0.2">
      <c r="B1068" s="4"/>
      <c r="C1068" s="4"/>
      <c r="D1068" s="5"/>
    </row>
    <row r="1069" spans="2:4" ht="12.75" x14ac:dyDescent="0.2">
      <c r="B1069" s="4"/>
      <c r="C1069" s="4"/>
      <c r="D1069" s="5"/>
    </row>
    <row r="1070" spans="2:4" ht="12.75" x14ac:dyDescent="0.2">
      <c r="B1070" s="4"/>
      <c r="C1070" s="4"/>
      <c r="D1070" s="5"/>
    </row>
    <row r="1071" spans="2:4" ht="12.75" x14ac:dyDescent="0.2">
      <c r="B1071" s="4"/>
      <c r="C1071" s="4"/>
      <c r="D1071" s="5"/>
    </row>
    <row r="1072" spans="2:4" ht="12.75" x14ac:dyDescent="0.2">
      <c r="B1072" s="4"/>
      <c r="C1072" s="4"/>
      <c r="D1072" s="5"/>
    </row>
    <row r="1073" spans="2:4" ht="12.75" x14ac:dyDescent="0.2">
      <c r="B1073" s="4"/>
      <c r="C1073" s="4"/>
      <c r="D1073" s="5"/>
    </row>
    <row r="1074" spans="2:4" ht="12.75" x14ac:dyDescent="0.2">
      <c r="B1074" s="4"/>
      <c r="C1074" s="4"/>
      <c r="D1074" s="5"/>
    </row>
    <row r="1075" spans="2:4" ht="12.75" x14ac:dyDescent="0.2">
      <c r="B1075" s="4"/>
      <c r="C1075" s="4"/>
      <c r="D1075" s="5"/>
    </row>
    <row r="1076" spans="2:4" ht="12.75" x14ac:dyDescent="0.2">
      <c r="B1076" s="4"/>
      <c r="C1076" s="4"/>
      <c r="D1076" s="5"/>
    </row>
    <row r="1077" spans="2:4" ht="12.75" x14ac:dyDescent="0.2">
      <c r="B1077" s="4"/>
      <c r="C1077" s="4"/>
      <c r="D1077" s="5"/>
    </row>
    <row r="1078" spans="2:4" ht="12.75" x14ac:dyDescent="0.2">
      <c r="B1078" s="4"/>
      <c r="C1078" s="4"/>
      <c r="D1078" s="5"/>
    </row>
    <row r="1079" spans="2:4" ht="12.75" x14ac:dyDescent="0.2">
      <c r="B1079" s="4"/>
      <c r="C1079" s="4"/>
      <c r="D1079" s="5"/>
    </row>
    <row r="1080" spans="2:4" ht="12.75" x14ac:dyDescent="0.2">
      <c r="B1080" s="4"/>
      <c r="C1080" s="4"/>
      <c r="D1080" s="5"/>
    </row>
    <row r="1081" spans="2:4" ht="12.75" x14ac:dyDescent="0.2">
      <c r="B1081" s="4"/>
      <c r="C1081" s="4"/>
      <c r="D1081" s="5"/>
    </row>
    <row r="1082" spans="2:4" ht="12.75" x14ac:dyDescent="0.2">
      <c r="B1082" s="4"/>
      <c r="C1082" s="4"/>
      <c r="D1082" s="5"/>
    </row>
    <row r="1083" spans="2:4" ht="12.75" x14ac:dyDescent="0.2">
      <c r="B1083" s="4"/>
      <c r="C1083" s="4"/>
      <c r="D1083" s="5"/>
    </row>
    <row r="1084" spans="2:4" ht="12.75" x14ac:dyDescent="0.2">
      <c r="B1084" s="4"/>
      <c r="C1084" s="4"/>
      <c r="D1084" s="5"/>
    </row>
    <row r="1085" spans="2:4" ht="12.75" x14ac:dyDescent="0.2">
      <c r="B1085" s="4"/>
      <c r="C1085" s="4"/>
      <c r="D1085" s="5"/>
    </row>
    <row r="1086" spans="2:4" ht="12.75" x14ac:dyDescent="0.2">
      <c r="B1086" s="4"/>
      <c r="C1086" s="4"/>
      <c r="D1086" s="5"/>
    </row>
    <row r="1087" spans="2:4" ht="12.75" x14ac:dyDescent="0.2">
      <c r="B1087" s="4"/>
      <c r="C1087" s="4"/>
      <c r="D1087" s="5"/>
    </row>
    <row r="1088" spans="2:4" ht="12.75" x14ac:dyDescent="0.2">
      <c r="B1088" s="4"/>
      <c r="C1088" s="4"/>
      <c r="D1088" s="5"/>
    </row>
  </sheetData>
  <hyperlinks>
    <hyperlink ref="C112" r:id="rId1" xr:uid="{00000000-0004-0000-0000-00006E000000}"/>
    <hyperlink ref="C114" r:id="rId2" xr:uid="{CE184CB7-4BB6-46DC-B324-B85F4575CC0D}"/>
    <hyperlink ref="C127" r:id="rId3" xr:uid="{5A4338D2-E0CD-4718-A7C9-FF95E6BF1D24}"/>
    <hyperlink ref="C77" r:id="rId4" xr:uid="{661F4F67-BC60-4667-970F-905132AFD62B}"/>
    <hyperlink ref="C78" r:id="rId5" xr:uid="{C23FE797-9ED4-45B7-B926-3860565D81F2}"/>
    <hyperlink ref="C33" r:id="rId6" xr:uid="{99415449-CF7B-4AF4-AD13-AC37B57032F9}"/>
    <hyperlink ref="C34" r:id="rId7" xr:uid="{8060D7AA-3B98-4BE0-B99E-2A6D4B19A860}"/>
    <hyperlink ref="C79" r:id="rId8" xr:uid="{9BAD809F-4B92-40BC-AE26-9C35361D79D1}"/>
    <hyperlink ref="C9" r:id="rId9" xr:uid="{68802EB0-581B-48C7-BDDE-1E646680EC8F}"/>
    <hyperlink ref="C11" r:id="rId10" xr:uid="{C21FF8B1-028C-48AE-B349-F0929053BCD5}"/>
    <hyperlink ref="C12" r:id="rId11" xr:uid="{3ADFD6EF-2AA9-4DEB-9883-C30BD6C807CD}"/>
    <hyperlink ref="C13" r:id="rId12" xr:uid="{691A4232-D843-4C2A-A841-602FCBEA7752}"/>
    <hyperlink ref="C14" r:id="rId13" xr:uid="{B22D615E-F9E6-4DAB-9323-587D6EE998A2}"/>
    <hyperlink ref="C15" r:id="rId14" xr:uid="{E68D04E7-60CB-4279-A96B-FBEBF44BE063}"/>
    <hyperlink ref="C18" r:id="rId15" xr:uid="{C04A71E2-B3E4-48A8-BE1D-BCC8E0A5BFC4}"/>
    <hyperlink ref="C20" r:id="rId16" display="https://www.pinballlife.com/williamsbally-lockdown-bar-lever-guide-receiver-assembly-wpcwpc-95.html" xr:uid="{6A0EEA25-6888-4580-9095-E44F0D71228E}"/>
    <hyperlink ref="C22" r:id="rId17" xr:uid="{6180ECB0-701B-4C28-8200-5F48E424D008}"/>
    <hyperlink ref="C23" r:id="rId18" xr:uid="{718E1586-9063-4BDE-AC0D-1D02431B9629}"/>
    <hyperlink ref="C24" r:id="rId19" xr:uid="{4FD3DCCF-8978-457E-B3E3-533383191E50}"/>
    <hyperlink ref="C42" r:id="rId20" xr:uid="{DE4A38AB-566A-4B03-8604-C11AF10EE87B}"/>
    <hyperlink ref="C43" r:id="rId21" xr:uid="{C2651AFF-24BF-4A16-ABE3-43B1924F8BF8}"/>
    <hyperlink ref="C41" r:id="rId22" xr:uid="{B3A41AC7-AE99-430C-8E06-5752C8F3975C}"/>
    <hyperlink ref="C48" r:id="rId23" xr:uid="{3F47A864-C261-4CB0-80BC-EAC3DCEF27F3}"/>
    <hyperlink ref="C10" r:id="rId24" xr:uid="{92131111-0A0F-4C40-8C2C-1853CEF3696E}"/>
    <hyperlink ref="C25" r:id="rId25" xr:uid="{E898A765-6C45-459E-B9C2-4E92BA4CCE0F}"/>
    <hyperlink ref="C26" r:id="rId26" xr:uid="{DFBC9F42-1B81-4D6F-8994-C7EA9B307520}"/>
    <hyperlink ref="C61" r:id="rId27" xr:uid="{F029BA19-0359-42A7-A1F4-6767F92E12E4}"/>
    <hyperlink ref="C62" r:id="rId28" xr:uid="{15E90597-24B6-4666-89B3-756099B89842}"/>
    <hyperlink ref="C63" r:id="rId29" xr:uid="{B3DBA678-1F2C-470B-B7E4-C3348409EB86}"/>
    <hyperlink ref="C64" r:id="rId30" xr:uid="{22ECBBB1-DE72-436E-B9DD-C08EAEB2676B}"/>
    <hyperlink ref="C67" r:id="rId31" xr:uid="{9C9FE5CE-2530-4AD9-AAE3-74A828DAEE7C}"/>
    <hyperlink ref="C68" r:id="rId32" xr:uid="{B6B87420-ECCF-4DC9-90F6-D8A6F2B557D5}"/>
    <hyperlink ref="C69" r:id="rId33" xr:uid="{8E6AFCD3-9CB5-412E-93E5-CBB8BE9A2E23}"/>
    <hyperlink ref="C70" r:id="rId34" xr:uid="{74CBE975-2E86-49A5-9693-DFA822F663E4}"/>
    <hyperlink ref="C71" r:id="rId35" xr:uid="{6FDCFD29-6F45-458E-8031-8D8DCB260EE0}"/>
    <hyperlink ref="C30" r:id="rId36" xr:uid="{7E93B6CD-25BB-488D-9D6B-B8514C22C520}"/>
    <hyperlink ref="C53" r:id="rId37" xr:uid="{20AF1F68-848A-475F-A6BD-D344475CC5C0}"/>
    <hyperlink ref="C55" r:id="rId38" xr:uid="{3D86374F-9224-4FB7-BA1B-0E2C5FBEDE4F}"/>
    <hyperlink ref="C105" r:id="rId39" xr:uid="{B5C49F36-950D-4030-9782-0C1E8DA8A84F}"/>
    <hyperlink ref="C106" r:id="rId40" xr:uid="{436E9BA4-A3B8-43E6-BA41-002B508CFA67}"/>
    <hyperlink ref="C82" r:id="rId41" xr:uid="{D11C57BB-03E4-4C02-B5F5-B6E951A88E74}"/>
    <hyperlink ref="C132" r:id="rId42" xr:uid="{C632CB1E-62D9-4992-BA4F-E9C343EEC739}"/>
    <hyperlink ref="C28" r:id="rId43" xr:uid="{9EC97BE6-0737-44A6-85D5-98276B7B4B9B}"/>
    <hyperlink ref="C49" r:id="rId44" xr:uid="{1D3FF0E2-0057-47BA-9450-6D133917FFF4}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0425-2C82-41A2-8DE3-2BB1F88A8C0C}">
  <dimension ref="A2:H53"/>
  <sheetViews>
    <sheetView topLeftCell="A19" workbookViewId="0">
      <selection activeCell="C20" sqref="C20"/>
    </sheetView>
  </sheetViews>
  <sheetFormatPr defaultRowHeight="12.75" x14ac:dyDescent="0.2"/>
  <cols>
    <col min="3" max="3" width="64.7109375" customWidth="1"/>
    <col min="4" max="4" width="22.5703125" customWidth="1"/>
    <col min="5" max="5" width="29" customWidth="1"/>
    <col min="6" max="6" width="16.7109375" customWidth="1"/>
    <col min="7" max="7" width="25.85546875" customWidth="1"/>
  </cols>
  <sheetData>
    <row r="2" spans="1:8" x14ac:dyDescent="0.2">
      <c r="A2" s="6" t="s">
        <v>11</v>
      </c>
      <c r="B2" s="6"/>
      <c r="C2" s="6"/>
      <c r="D2" s="6"/>
      <c r="E2" s="6" t="s">
        <v>149</v>
      </c>
      <c r="F2" s="6" t="s">
        <v>150</v>
      </c>
      <c r="G2" s="6" t="s">
        <v>151</v>
      </c>
      <c r="H2" s="6"/>
    </row>
    <row r="5" spans="1:8" x14ac:dyDescent="0.2">
      <c r="C5" s="17" t="s">
        <v>84</v>
      </c>
      <c r="D5" s="13" t="s">
        <v>49</v>
      </c>
      <c r="E5" s="15">
        <v>3.95</v>
      </c>
      <c r="F5" s="17">
        <v>1</v>
      </c>
      <c r="G5" s="15">
        <f t="shared" ref="G5:G17" si="0">F5*E5</f>
        <v>3.95</v>
      </c>
    </row>
    <row r="6" spans="1:8" x14ac:dyDescent="0.2">
      <c r="C6" s="17" t="s">
        <v>85</v>
      </c>
      <c r="D6" s="13" t="s">
        <v>49</v>
      </c>
      <c r="E6" s="15">
        <v>3.95</v>
      </c>
      <c r="F6" s="17">
        <v>1</v>
      </c>
      <c r="G6" s="15">
        <f t="shared" si="0"/>
        <v>3.95</v>
      </c>
    </row>
    <row r="7" spans="1:8" x14ac:dyDescent="0.2">
      <c r="C7" s="17" t="s">
        <v>50</v>
      </c>
      <c r="D7" s="20" t="s">
        <v>51</v>
      </c>
      <c r="E7" s="15">
        <v>3.95</v>
      </c>
      <c r="F7" s="17">
        <v>2</v>
      </c>
      <c r="G7" s="15">
        <f t="shared" si="0"/>
        <v>7.9</v>
      </c>
    </row>
    <row r="8" spans="1:8" x14ac:dyDescent="0.2">
      <c r="C8" s="17" t="s">
        <v>52</v>
      </c>
      <c r="D8" s="20" t="s">
        <v>53</v>
      </c>
      <c r="E8" s="15">
        <v>5.95</v>
      </c>
      <c r="F8" s="17">
        <v>2</v>
      </c>
      <c r="G8" s="15">
        <f t="shared" si="0"/>
        <v>11.9</v>
      </c>
    </row>
    <row r="9" spans="1:8" x14ac:dyDescent="0.2">
      <c r="C9" s="17" t="s">
        <v>54</v>
      </c>
      <c r="D9" s="20" t="s">
        <v>55</v>
      </c>
      <c r="E9" s="15">
        <v>9.9499999999999993</v>
      </c>
      <c r="F9" s="17">
        <v>2</v>
      </c>
      <c r="G9" s="15">
        <f t="shared" si="0"/>
        <v>19.899999999999999</v>
      </c>
    </row>
    <row r="10" spans="1:8" x14ac:dyDescent="0.2">
      <c r="C10" s="17" t="s">
        <v>56</v>
      </c>
      <c r="D10" s="20" t="s">
        <v>57</v>
      </c>
      <c r="E10" s="15">
        <v>9.9499999999999993</v>
      </c>
      <c r="F10" s="17">
        <v>1</v>
      </c>
      <c r="G10" s="15">
        <f t="shared" si="0"/>
        <v>9.9499999999999993</v>
      </c>
    </row>
    <row r="11" spans="1:8" x14ac:dyDescent="0.2">
      <c r="C11" s="17" t="s">
        <v>58</v>
      </c>
      <c r="D11" s="20" t="s">
        <v>59</v>
      </c>
      <c r="E11" s="15">
        <v>6.95</v>
      </c>
      <c r="F11" s="17">
        <v>4</v>
      </c>
      <c r="G11" s="15">
        <f t="shared" si="0"/>
        <v>27.8</v>
      </c>
    </row>
    <row r="12" spans="1:8" x14ac:dyDescent="0.2">
      <c r="C12" s="17" t="s">
        <v>148</v>
      </c>
      <c r="D12" s="20" t="s">
        <v>86</v>
      </c>
      <c r="E12" s="15">
        <v>0.15</v>
      </c>
      <c r="F12" s="17">
        <v>30</v>
      </c>
      <c r="G12" s="15">
        <f t="shared" si="0"/>
        <v>4.5</v>
      </c>
    </row>
    <row r="13" spans="1:8" x14ac:dyDescent="0.2">
      <c r="C13" s="17" t="s">
        <v>87</v>
      </c>
      <c r="D13" s="20" t="s">
        <v>88</v>
      </c>
      <c r="E13" s="15">
        <v>2.95</v>
      </c>
      <c r="F13" s="17">
        <v>4</v>
      </c>
      <c r="G13" s="15">
        <f t="shared" si="0"/>
        <v>11.8</v>
      </c>
    </row>
    <row r="14" spans="1:8" x14ac:dyDescent="0.2">
      <c r="C14" s="17" t="s">
        <v>89</v>
      </c>
      <c r="D14" s="13" t="s">
        <v>60</v>
      </c>
      <c r="E14" s="15">
        <v>69.95</v>
      </c>
      <c r="F14" s="17">
        <v>1</v>
      </c>
      <c r="G14" s="15">
        <f t="shared" si="0"/>
        <v>69.95</v>
      </c>
    </row>
    <row r="15" spans="1:8" x14ac:dyDescent="0.2">
      <c r="C15" s="17" t="s">
        <v>62</v>
      </c>
      <c r="D15" s="13" t="s">
        <v>90</v>
      </c>
      <c r="E15" s="15">
        <v>99.95</v>
      </c>
      <c r="F15" s="17">
        <v>1</v>
      </c>
      <c r="G15" s="15">
        <f t="shared" si="0"/>
        <v>99.95</v>
      </c>
    </row>
    <row r="16" spans="1:8" x14ac:dyDescent="0.2">
      <c r="C16" s="17" t="s">
        <v>64</v>
      </c>
      <c r="D16" s="20" t="s">
        <v>65</v>
      </c>
      <c r="E16" s="15">
        <v>49.95</v>
      </c>
      <c r="F16" s="17">
        <v>1</v>
      </c>
      <c r="G16" s="15">
        <f t="shared" si="0"/>
        <v>49.95</v>
      </c>
    </row>
    <row r="17" spans="3:7" x14ac:dyDescent="0.2">
      <c r="C17" s="17" t="s">
        <v>91</v>
      </c>
      <c r="D17" s="20" t="s">
        <v>66</v>
      </c>
      <c r="E17" s="15">
        <v>34.950000000000003</v>
      </c>
      <c r="F17" s="17">
        <v>1</v>
      </c>
      <c r="G17" s="15">
        <f t="shared" si="0"/>
        <v>34.950000000000003</v>
      </c>
    </row>
    <row r="18" spans="3:7" x14ac:dyDescent="0.2">
      <c r="C18" s="17" t="s">
        <v>69</v>
      </c>
      <c r="D18" s="13" t="s">
        <v>70</v>
      </c>
      <c r="E18" s="15">
        <v>8.5</v>
      </c>
      <c r="F18" s="17">
        <v>1</v>
      </c>
      <c r="G18" s="15">
        <f>F18*E18</f>
        <v>8.5</v>
      </c>
    </row>
    <row r="19" spans="3:7" x14ac:dyDescent="0.2">
      <c r="C19" s="17" t="s">
        <v>67</v>
      </c>
      <c r="D19" s="20" t="s">
        <v>68</v>
      </c>
      <c r="E19" s="15">
        <v>8.9499999999999993</v>
      </c>
      <c r="F19" s="17">
        <v>2</v>
      </c>
      <c r="G19" s="15">
        <f>F19*E19</f>
        <v>17.899999999999999</v>
      </c>
    </row>
    <row r="20" spans="3:7" x14ac:dyDescent="0.2">
      <c r="C20" s="17" t="s">
        <v>95</v>
      </c>
      <c r="D20" s="20" t="s">
        <v>96</v>
      </c>
      <c r="E20" s="15">
        <v>0.36</v>
      </c>
      <c r="F20" s="17">
        <v>12</v>
      </c>
      <c r="G20" s="15">
        <f>F20*E20</f>
        <v>4.32</v>
      </c>
    </row>
    <row r="21" spans="3:7" x14ac:dyDescent="0.2">
      <c r="C21" s="17" t="s">
        <v>97</v>
      </c>
      <c r="D21" s="20" t="s">
        <v>98</v>
      </c>
      <c r="E21" s="15">
        <v>0.15</v>
      </c>
      <c r="F21" s="17">
        <v>12</v>
      </c>
      <c r="G21" s="15">
        <f>F21*E21</f>
        <v>1.7999999999999998</v>
      </c>
    </row>
    <row r="24" spans="3:7" x14ac:dyDescent="0.2">
      <c r="C24" s="18" t="s">
        <v>81</v>
      </c>
      <c r="D24" s="20"/>
      <c r="E24" s="15"/>
      <c r="F24" s="17"/>
      <c r="G24" s="15"/>
    </row>
    <row r="25" spans="3:7" x14ac:dyDescent="0.2">
      <c r="C25" s="21" t="s">
        <v>92</v>
      </c>
      <c r="D25" s="20" t="s">
        <v>43</v>
      </c>
      <c r="E25" s="15">
        <v>59.95</v>
      </c>
      <c r="F25" s="17">
        <v>1</v>
      </c>
      <c r="G25" s="15">
        <f>F25*E25</f>
        <v>59.95</v>
      </c>
    </row>
    <row r="26" spans="3:7" x14ac:dyDescent="0.2">
      <c r="C26" s="17" t="s">
        <v>44</v>
      </c>
      <c r="D26" s="20" t="s">
        <v>45</v>
      </c>
      <c r="E26" s="15">
        <v>3</v>
      </c>
      <c r="F26" s="17">
        <v>1</v>
      </c>
      <c r="G26" s="15">
        <f>F26*E26</f>
        <v>3</v>
      </c>
    </row>
    <row r="27" spans="3:7" x14ac:dyDescent="0.2">
      <c r="C27" s="17" t="s">
        <v>82</v>
      </c>
      <c r="D27" s="20" t="s">
        <v>83</v>
      </c>
      <c r="E27" s="15">
        <v>8.9499999999999993</v>
      </c>
      <c r="F27" s="17">
        <v>1</v>
      </c>
      <c r="G27" s="15">
        <f>F27*E27</f>
        <v>8.9499999999999993</v>
      </c>
    </row>
    <row r="28" spans="3:7" x14ac:dyDescent="0.2">
      <c r="C28" s="17" t="s">
        <v>139</v>
      </c>
      <c r="D28" s="20" t="s">
        <v>138</v>
      </c>
      <c r="E28" s="15">
        <v>1.75</v>
      </c>
      <c r="F28" s="17">
        <v>2</v>
      </c>
      <c r="G28" s="15">
        <f>F28*E28</f>
        <v>3.5</v>
      </c>
    </row>
    <row r="30" spans="3:7" ht="15" customHeight="1" x14ac:dyDescent="0.2"/>
    <row r="32" spans="3:7" x14ac:dyDescent="0.2">
      <c r="C32" s="22" t="s">
        <v>99</v>
      </c>
      <c r="D32" s="4"/>
      <c r="E32" s="5"/>
      <c r="F32" s="4"/>
    </row>
    <row r="33" spans="3:7" x14ac:dyDescent="0.2">
      <c r="C33" s="17" t="s">
        <v>100</v>
      </c>
      <c r="D33" s="20" t="s">
        <v>101</v>
      </c>
      <c r="E33" s="15">
        <v>44.95</v>
      </c>
      <c r="F33" s="17">
        <v>1</v>
      </c>
      <c r="G33" s="15">
        <f>F33*E33</f>
        <v>44.95</v>
      </c>
    </row>
    <row r="34" spans="3:7" x14ac:dyDescent="0.2">
      <c r="C34" s="17" t="s">
        <v>102</v>
      </c>
      <c r="D34" s="20" t="s">
        <v>101</v>
      </c>
      <c r="E34" s="15">
        <v>44.95</v>
      </c>
      <c r="F34" s="17">
        <v>1</v>
      </c>
      <c r="G34" s="15">
        <f>F34*E34</f>
        <v>44.95</v>
      </c>
    </row>
    <row r="35" spans="3:7" x14ac:dyDescent="0.2">
      <c r="C35" s="17" t="s">
        <v>103</v>
      </c>
      <c r="D35" s="20" t="s">
        <v>104</v>
      </c>
      <c r="E35" s="15">
        <v>4.95</v>
      </c>
      <c r="F35" s="17">
        <v>2</v>
      </c>
      <c r="G35" s="15">
        <f>F35*E35</f>
        <v>9.9</v>
      </c>
    </row>
    <row r="36" spans="3:7" x14ac:dyDescent="0.2">
      <c r="C36" s="17" t="s">
        <v>105</v>
      </c>
      <c r="D36" s="20" t="s">
        <v>106</v>
      </c>
      <c r="E36" s="15">
        <v>2.25</v>
      </c>
      <c r="F36" s="17">
        <v>2</v>
      </c>
      <c r="G36" s="15">
        <f>F36*E36</f>
        <v>4.5</v>
      </c>
    </row>
    <row r="37" spans="3:7" x14ac:dyDescent="0.2">
      <c r="C37" s="18"/>
      <c r="D37" s="4"/>
      <c r="E37" s="5"/>
      <c r="F37" s="4"/>
    </row>
    <row r="38" spans="3:7" x14ac:dyDescent="0.2">
      <c r="C38" s="18" t="s">
        <v>107</v>
      </c>
      <c r="D38" s="4"/>
      <c r="E38" s="5"/>
      <c r="F38" s="4"/>
    </row>
    <row r="39" spans="3:7" x14ac:dyDescent="0.2">
      <c r="C39" s="17" t="s">
        <v>108</v>
      </c>
      <c r="D39" s="20" t="s">
        <v>109</v>
      </c>
      <c r="E39" s="15">
        <v>44.95</v>
      </c>
      <c r="F39" s="17">
        <v>1</v>
      </c>
      <c r="G39" s="15">
        <f>F39*E39</f>
        <v>44.95</v>
      </c>
    </row>
    <row r="40" spans="3:7" x14ac:dyDescent="0.2">
      <c r="C40" s="17" t="s">
        <v>110</v>
      </c>
      <c r="D40" s="20" t="s">
        <v>109</v>
      </c>
      <c r="E40" s="15">
        <v>44.95</v>
      </c>
      <c r="F40" s="17">
        <v>1</v>
      </c>
      <c r="G40" s="15">
        <f>F40*E40</f>
        <v>44.95</v>
      </c>
    </row>
    <row r="41" spans="3:7" x14ac:dyDescent="0.2">
      <c r="C41" s="17" t="s">
        <v>111</v>
      </c>
      <c r="D41" s="20" t="s">
        <v>112</v>
      </c>
      <c r="E41" s="15">
        <v>0.49</v>
      </c>
      <c r="F41" s="17">
        <v>2</v>
      </c>
      <c r="G41" s="15">
        <f>F41*E41</f>
        <v>0.98</v>
      </c>
    </row>
    <row r="42" spans="3:7" x14ac:dyDescent="0.2">
      <c r="C42" s="17" t="s">
        <v>113</v>
      </c>
      <c r="D42" s="20" t="s">
        <v>114</v>
      </c>
      <c r="E42" s="15">
        <v>0.7</v>
      </c>
      <c r="F42" s="17">
        <v>4</v>
      </c>
      <c r="G42" s="15">
        <f>F42*E42</f>
        <v>2.8</v>
      </c>
    </row>
    <row r="43" spans="3:7" x14ac:dyDescent="0.2">
      <c r="C43" s="17" t="s">
        <v>115</v>
      </c>
      <c r="D43" s="20" t="s">
        <v>116</v>
      </c>
      <c r="E43" s="15">
        <v>0.7</v>
      </c>
      <c r="F43" s="17">
        <v>2</v>
      </c>
      <c r="G43" s="15">
        <f>F43*E43</f>
        <v>1.4</v>
      </c>
    </row>
    <row r="45" spans="3:7" x14ac:dyDescent="0.2">
      <c r="C45" s="22"/>
    </row>
    <row r="46" spans="3:7" x14ac:dyDescent="0.2">
      <c r="C46" s="26" t="s">
        <v>154</v>
      </c>
      <c r="D46" s="20"/>
      <c r="E46" s="15"/>
      <c r="F46" s="18" t="s">
        <v>153</v>
      </c>
      <c r="G46" s="15">
        <f>SUM(G4:G45)</f>
        <v>663.75</v>
      </c>
    </row>
    <row r="47" spans="3:7" x14ac:dyDescent="0.2">
      <c r="C47" s="17"/>
      <c r="D47" s="20"/>
      <c r="E47" s="15"/>
    </row>
    <row r="48" spans="3:7" x14ac:dyDescent="0.2">
      <c r="C48" s="17"/>
      <c r="D48" s="20"/>
      <c r="E48" s="15"/>
      <c r="F48" s="17"/>
      <c r="G48" s="15"/>
    </row>
    <row r="49" spans="3:8" x14ac:dyDescent="0.2">
      <c r="C49" s="16"/>
      <c r="D49" s="13"/>
      <c r="H49" s="5"/>
    </row>
    <row r="50" spans="3:8" x14ac:dyDescent="0.2">
      <c r="C50" s="16"/>
      <c r="D50" s="13"/>
      <c r="E50" s="5"/>
    </row>
    <row r="52" spans="3:8" x14ac:dyDescent="0.2">
      <c r="C52" s="18"/>
      <c r="D52" s="20"/>
      <c r="E52" s="15"/>
    </row>
    <row r="53" spans="3:8" x14ac:dyDescent="0.2">
      <c r="C53" s="17"/>
      <c r="D53" s="20"/>
    </row>
  </sheetData>
  <hyperlinks>
    <hyperlink ref="D5" r:id="rId1" xr:uid="{A024D0AD-7DC3-4267-84C3-D49968463F10}"/>
    <hyperlink ref="D7" r:id="rId2" xr:uid="{39F1BB61-0150-43F2-8E73-25F07542432F}"/>
    <hyperlink ref="D8" r:id="rId3" xr:uid="{CBD60823-25A2-44E6-B9AD-9294BDDA689C}"/>
    <hyperlink ref="D9" r:id="rId4" xr:uid="{29DC891E-0976-43A0-AE6C-CE80DBE5A46B}"/>
    <hyperlink ref="D10" r:id="rId5" xr:uid="{A4D5FC6F-5560-44EB-A8C7-E9DBBFFBF508}"/>
    <hyperlink ref="D11" r:id="rId6" xr:uid="{1CDE7A32-E843-4C38-95E9-C89AAB981992}"/>
    <hyperlink ref="D14" r:id="rId7" xr:uid="{9A0052EB-0A0D-46A7-B35E-49D1E1B4A6F4}"/>
    <hyperlink ref="D6" r:id="rId8" xr:uid="{0E11B6EF-30F6-4B9A-9633-26F1B0FFAC7F}"/>
    <hyperlink ref="D17" r:id="rId9" xr:uid="{69302CFE-0A39-4778-A525-27198FCF4401}"/>
    <hyperlink ref="D18" r:id="rId10" xr:uid="{AA8E2EB0-C9E2-47D1-80C3-2562D288DAC6}"/>
    <hyperlink ref="D19" r:id="rId11" xr:uid="{7CC4400E-24F5-4E26-8EC7-C32874CD5649}"/>
    <hyperlink ref="D20" r:id="rId12" xr:uid="{B2EC242C-521D-4277-8DDC-22E6350D7CC9}"/>
    <hyperlink ref="D21" r:id="rId13" xr:uid="{45B71049-1E9A-4012-B61D-FDF982858C3B}"/>
    <hyperlink ref="D25" r:id="rId14" xr:uid="{FC9D13A5-06DD-451D-8C7B-E661057198B6}"/>
    <hyperlink ref="D26" r:id="rId15" xr:uid="{68D2D92C-AF91-426E-91D3-34582BF15AE0}"/>
    <hyperlink ref="D33" r:id="rId16" xr:uid="{A48A1A3F-285C-4074-AEF4-7330D4EBCDE2}"/>
    <hyperlink ref="D34" r:id="rId17" xr:uid="{2F17C82E-4BE1-4D99-B4C1-6D199CE0F923}"/>
    <hyperlink ref="D35" r:id="rId18" xr:uid="{7773C6C5-3880-4BC1-89E8-C8B6368261AE}"/>
    <hyperlink ref="D36" r:id="rId19" xr:uid="{4B63C416-0D6A-49EB-865B-132802EA6A96}"/>
    <hyperlink ref="D39" r:id="rId20" xr:uid="{0C1F98A5-82A1-424D-969A-6502872F83FC}"/>
    <hyperlink ref="D40" r:id="rId21" xr:uid="{7BF4C589-E9C2-445B-A8FB-7993F557DEA0}"/>
    <hyperlink ref="D41" r:id="rId22" xr:uid="{653523D0-EA36-44CA-B404-8DF41CD52596}"/>
    <hyperlink ref="D42" r:id="rId23" xr:uid="{7E51C0BD-A21C-4709-A58B-771FDA05C0A9}"/>
    <hyperlink ref="D43" r:id="rId24" xr:uid="{8057760D-9E07-4D3F-914A-D2261FA1F9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FF50-F82C-4442-92B2-1C088697DCE0}">
  <dimension ref="B7:F133"/>
  <sheetViews>
    <sheetView workbookViewId="0">
      <selection activeCell="B42" sqref="B39:B42"/>
    </sheetView>
  </sheetViews>
  <sheetFormatPr defaultRowHeight="12.75" x14ac:dyDescent="0.2"/>
  <cols>
    <col min="2" max="2" width="40.42578125" customWidth="1"/>
    <col min="3" max="3" width="16" style="31" customWidth="1"/>
    <col min="4" max="4" width="17.28515625" style="34" customWidth="1"/>
    <col min="5" max="5" width="25.7109375" style="34" customWidth="1"/>
  </cols>
  <sheetData>
    <row r="7" spans="2:6" x14ac:dyDescent="0.2">
      <c r="C7" s="30" t="s">
        <v>213</v>
      </c>
      <c r="D7" s="33" t="s">
        <v>216</v>
      </c>
      <c r="E7" s="33" t="s">
        <v>151</v>
      </c>
    </row>
    <row r="10" spans="2:6" x14ac:dyDescent="0.2">
      <c r="B10" s="22" t="s">
        <v>209</v>
      </c>
    </row>
    <row r="11" spans="2:6" x14ac:dyDescent="0.2">
      <c r="B11" s="22"/>
    </row>
    <row r="12" spans="2:6" x14ac:dyDescent="0.2">
      <c r="B12" s="35" t="s">
        <v>232</v>
      </c>
    </row>
    <row r="13" spans="2:6" x14ac:dyDescent="0.2">
      <c r="B13" s="19" t="s">
        <v>271</v>
      </c>
      <c r="C13" s="32">
        <v>3</v>
      </c>
      <c r="D13" s="34">
        <v>299</v>
      </c>
      <c r="E13" s="34">
        <f>C13*D13</f>
        <v>897</v>
      </c>
      <c r="F13" t="s">
        <v>272</v>
      </c>
    </row>
    <row r="14" spans="2:6" x14ac:dyDescent="0.2">
      <c r="B14" s="19"/>
      <c r="C14" s="32"/>
    </row>
    <row r="15" spans="2:6" x14ac:dyDescent="0.2">
      <c r="B15" s="35" t="s">
        <v>275</v>
      </c>
      <c r="C15" s="32"/>
    </row>
    <row r="16" spans="2:6" x14ac:dyDescent="0.2">
      <c r="B16" s="19" t="s">
        <v>211</v>
      </c>
      <c r="C16" s="32">
        <v>6</v>
      </c>
      <c r="D16" s="34">
        <v>9.9499999999999993</v>
      </c>
      <c r="E16" s="34">
        <f>C16*D16</f>
        <v>59.699999999999996</v>
      </c>
      <c r="F16" t="s">
        <v>212</v>
      </c>
    </row>
    <row r="17" spans="2:6" x14ac:dyDescent="0.2">
      <c r="B17" s="19" t="s">
        <v>214</v>
      </c>
      <c r="C17" s="31">
        <v>1</v>
      </c>
      <c r="D17" s="34">
        <v>89.95</v>
      </c>
      <c r="E17" s="34">
        <f>C17*D17</f>
        <v>89.95</v>
      </c>
      <c r="F17" t="s">
        <v>215</v>
      </c>
    </row>
    <row r="18" spans="2:6" x14ac:dyDescent="0.2">
      <c r="B18" s="19"/>
      <c r="C18" s="32"/>
    </row>
    <row r="19" spans="2:6" x14ac:dyDescent="0.2">
      <c r="B19" s="35" t="s">
        <v>233</v>
      </c>
      <c r="C19" s="32"/>
    </row>
    <row r="20" spans="2:6" x14ac:dyDescent="0.2">
      <c r="B20" s="19" t="s">
        <v>230</v>
      </c>
      <c r="C20" s="31">
        <v>1</v>
      </c>
      <c r="D20" s="34">
        <v>54.95</v>
      </c>
      <c r="E20" s="34">
        <f>C20*D20</f>
        <v>54.95</v>
      </c>
      <c r="F20" t="s">
        <v>224</v>
      </c>
    </row>
    <row r="21" spans="2:6" x14ac:dyDescent="0.2">
      <c r="B21" s="19" t="s">
        <v>255</v>
      </c>
      <c r="C21" s="31">
        <v>1</v>
      </c>
      <c r="D21" s="34">
        <v>24.95</v>
      </c>
      <c r="E21" s="34">
        <f>C21*D21</f>
        <v>24.95</v>
      </c>
      <c r="F21" t="s">
        <v>256</v>
      </c>
    </row>
    <row r="22" spans="2:6" x14ac:dyDescent="0.2">
      <c r="B22" s="19" t="s">
        <v>294</v>
      </c>
      <c r="C22" s="31">
        <v>1</v>
      </c>
      <c r="D22" s="34">
        <v>8.9499999999999993</v>
      </c>
      <c r="E22" s="34">
        <f>C22*D22</f>
        <v>8.9499999999999993</v>
      </c>
      <c r="F22" s="19" t="s">
        <v>293</v>
      </c>
    </row>
    <row r="23" spans="2:6" x14ac:dyDescent="0.2">
      <c r="B23" s="19"/>
    </row>
    <row r="24" spans="2:6" x14ac:dyDescent="0.2">
      <c r="B24" s="35" t="s">
        <v>226</v>
      </c>
    </row>
    <row r="25" spans="2:6" x14ac:dyDescent="0.2">
      <c r="B25" s="19" t="s">
        <v>234</v>
      </c>
      <c r="C25" s="31">
        <v>1</v>
      </c>
      <c r="D25" s="34">
        <v>44.95</v>
      </c>
      <c r="E25" s="34">
        <f>C25*D25</f>
        <v>44.95</v>
      </c>
      <c r="F25" t="s">
        <v>225</v>
      </c>
    </row>
    <row r="26" spans="2:6" x14ac:dyDescent="0.2">
      <c r="B26" s="19" t="s">
        <v>235</v>
      </c>
      <c r="C26" s="31">
        <v>1</v>
      </c>
      <c r="D26" s="34">
        <v>4.95</v>
      </c>
      <c r="E26" s="34">
        <f>C26*D26</f>
        <v>4.95</v>
      </c>
      <c r="F26" t="s">
        <v>104</v>
      </c>
    </row>
    <row r="27" spans="2:6" x14ac:dyDescent="0.2">
      <c r="B27" s="19" t="s">
        <v>262</v>
      </c>
      <c r="C27" s="31">
        <v>1</v>
      </c>
      <c r="D27" s="34">
        <v>2.25</v>
      </c>
      <c r="E27" s="34">
        <f>C27*D27</f>
        <v>2.25</v>
      </c>
      <c r="F27" t="s">
        <v>106</v>
      </c>
    </row>
    <row r="28" spans="2:6" x14ac:dyDescent="0.2">
      <c r="B28" s="19"/>
    </row>
    <row r="29" spans="2:6" x14ac:dyDescent="0.2">
      <c r="B29" s="19"/>
    </row>
    <row r="30" spans="2:6" x14ac:dyDescent="0.2">
      <c r="B30" s="35" t="s">
        <v>236</v>
      </c>
    </row>
    <row r="31" spans="2:6" x14ac:dyDescent="0.2">
      <c r="B31" s="19" t="s">
        <v>229</v>
      </c>
      <c r="C31" s="31">
        <v>1</v>
      </c>
      <c r="D31" s="34">
        <v>89.95</v>
      </c>
      <c r="E31" s="34">
        <f>C31*D31</f>
        <v>89.95</v>
      </c>
      <c r="F31" t="s">
        <v>223</v>
      </c>
    </row>
    <row r="32" spans="2:6" x14ac:dyDescent="0.2">
      <c r="B32" s="19"/>
      <c r="F32" s="34"/>
    </row>
    <row r="33" spans="2:6" x14ac:dyDescent="0.2">
      <c r="B33" s="19"/>
    </row>
    <row r="34" spans="2:6" x14ac:dyDescent="0.2">
      <c r="B34" s="35" t="s">
        <v>237</v>
      </c>
    </row>
    <row r="35" spans="2:6" x14ac:dyDescent="0.2">
      <c r="B35" s="19" t="s">
        <v>228</v>
      </c>
      <c r="C35" s="31">
        <v>1</v>
      </c>
      <c r="D35" s="34">
        <v>89.95</v>
      </c>
      <c r="E35" s="34">
        <f>C35*D35</f>
        <v>89.95</v>
      </c>
      <c r="F35" t="s">
        <v>227</v>
      </c>
    </row>
    <row r="36" spans="2:6" x14ac:dyDescent="0.2">
      <c r="B36" s="19" t="s">
        <v>211</v>
      </c>
      <c r="C36" s="32">
        <v>1</v>
      </c>
      <c r="D36" s="34">
        <v>9.9499999999999993</v>
      </c>
      <c r="E36" s="34">
        <f>C36*D36</f>
        <v>9.9499999999999993</v>
      </c>
      <c r="F36" t="s">
        <v>212</v>
      </c>
    </row>
    <row r="37" spans="2:6" x14ac:dyDescent="0.2">
      <c r="B37" s="19"/>
    </row>
    <row r="38" spans="2:6" x14ac:dyDescent="0.2">
      <c r="B38" s="19"/>
    </row>
    <row r="39" spans="2:6" x14ac:dyDescent="0.2">
      <c r="B39" s="35" t="s">
        <v>231</v>
      </c>
    </row>
    <row r="40" spans="2:6" x14ac:dyDescent="0.2">
      <c r="B40" s="19" t="s">
        <v>230</v>
      </c>
      <c r="C40" s="31">
        <v>1</v>
      </c>
      <c r="D40" s="34">
        <v>54.95</v>
      </c>
      <c r="E40" s="34">
        <f>C40*D40</f>
        <v>54.95</v>
      </c>
      <c r="F40" t="s">
        <v>224</v>
      </c>
    </row>
    <row r="41" spans="2:6" x14ac:dyDescent="0.2">
      <c r="B41" s="19" t="s">
        <v>294</v>
      </c>
      <c r="C41" s="31">
        <v>1</v>
      </c>
      <c r="D41" s="34">
        <v>8.9499999999999993</v>
      </c>
      <c r="E41" s="34">
        <f>C41*D41</f>
        <v>8.9499999999999993</v>
      </c>
      <c r="F41" s="19" t="s">
        <v>293</v>
      </c>
    </row>
    <row r="42" spans="2:6" x14ac:dyDescent="0.2">
      <c r="B42" s="19"/>
    </row>
    <row r="44" spans="2:6" x14ac:dyDescent="0.2">
      <c r="B44" s="22" t="s">
        <v>210</v>
      </c>
    </row>
    <row r="45" spans="2:6" x14ac:dyDescent="0.2">
      <c r="B45" s="19" t="s">
        <v>208</v>
      </c>
      <c r="C45" s="32">
        <v>1</v>
      </c>
      <c r="D45" s="34">
        <v>60</v>
      </c>
      <c r="E45" s="34">
        <f>C45*D45</f>
        <v>60</v>
      </c>
      <c r="F45" t="s">
        <v>207</v>
      </c>
    </row>
    <row r="47" spans="2:6" x14ac:dyDescent="0.2">
      <c r="B47" s="35" t="s">
        <v>238</v>
      </c>
    </row>
    <row r="48" spans="2:6" x14ac:dyDescent="0.2">
      <c r="B48" s="19" t="s">
        <v>239</v>
      </c>
      <c r="C48" s="31">
        <v>1</v>
      </c>
      <c r="D48" s="34">
        <v>34.950000000000003</v>
      </c>
      <c r="E48" s="34">
        <f>C48*D48</f>
        <v>34.950000000000003</v>
      </c>
      <c r="F48" t="s">
        <v>240</v>
      </c>
    </row>
    <row r="49" spans="2:6" x14ac:dyDescent="0.2">
      <c r="B49" s="19"/>
    </row>
    <row r="50" spans="2:6" x14ac:dyDescent="0.2">
      <c r="B50" s="35"/>
    </row>
    <row r="52" spans="2:6" x14ac:dyDescent="0.2">
      <c r="B52" s="35" t="s">
        <v>217</v>
      </c>
    </row>
    <row r="53" spans="2:6" x14ac:dyDescent="0.2">
      <c r="B53" s="19" t="s">
        <v>219</v>
      </c>
      <c r="C53" s="31">
        <v>1</v>
      </c>
      <c r="D53" s="34">
        <v>9.9499999999999993</v>
      </c>
      <c r="E53" s="34">
        <f>C53*D53</f>
        <v>9.9499999999999993</v>
      </c>
      <c r="F53" t="s">
        <v>218</v>
      </c>
    </row>
    <row r="54" spans="2:6" x14ac:dyDescent="0.2">
      <c r="B54" s="19" t="s">
        <v>220</v>
      </c>
      <c r="C54" s="31">
        <v>1</v>
      </c>
      <c r="D54" s="34">
        <v>9.9499999999999993</v>
      </c>
      <c r="E54" s="34">
        <f>C54*D54</f>
        <v>9.9499999999999993</v>
      </c>
      <c r="F54" s="13" t="s">
        <v>221</v>
      </c>
    </row>
    <row r="55" spans="2:6" x14ac:dyDescent="0.2">
      <c r="B55" s="19" t="s">
        <v>273</v>
      </c>
      <c r="C55" s="31">
        <v>1</v>
      </c>
      <c r="D55" s="34">
        <v>11.95</v>
      </c>
      <c r="E55" s="34">
        <f>C55*D55</f>
        <v>11.95</v>
      </c>
      <c r="F55" t="s">
        <v>253</v>
      </c>
    </row>
    <row r="57" spans="2:6" x14ac:dyDescent="0.2">
      <c r="B57" s="35" t="s">
        <v>242</v>
      </c>
    </row>
    <row r="58" spans="2:6" x14ac:dyDescent="0.2">
      <c r="B58" s="19" t="s">
        <v>241</v>
      </c>
      <c r="C58" s="31">
        <v>1</v>
      </c>
      <c r="D58" s="34">
        <v>14.95</v>
      </c>
      <c r="E58" s="34">
        <f>C58*D58</f>
        <v>14.95</v>
      </c>
      <c r="F58" s="13" t="s">
        <v>222</v>
      </c>
    </row>
    <row r="62" spans="2:6" x14ac:dyDescent="0.2">
      <c r="B62" s="22" t="s">
        <v>243</v>
      </c>
    </row>
    <row r="63" spans="2:6" x14ac:dyDescent="0.2">
      <c r="B63" s="35" t="s">
        <v>252</v>
      </c>
    </row>
    <row r="64" spans="2:6" x14ac:dyDescent="0.2">
      <c r="B64" s="19" t="s">
        <v>245</v>
      </c>
      <c r="C64" s="31">
        <v>2</v>
      </c>
      <c r="D64" s="34">
        <v>3.95</v>
      </c>
      <c r="E64" s="34">
        <f>C64*D64</f>
        <v>7.9</v>
      </c>
      <c r="F64" t="s">
        <v>244</v>
      </c>
    </row>
    <row r="65" spans="2:6" x14ac:dyDescent="0.2">
      <c r="B65" t="s">
        <v>246</v>
      </c>
      <c r="C65" s="31">
        <v>3</v>
      </c>
      <c r="D65" s="34">
        <v>3.95</v>
      </c>
      <c r="E65" s="34">
        <f>C65*D65</f>
        <v>11.850000000000001</v>
      </c>
      <c r="F65" t="s">
        <v>247</v>
      </c>
    </row>
    <row r="66" spans="2:6" x14ac:dyDescent="0.2">
      <c r="B66" t="s">
        <v>248</v>
      </c>
      <c r="C66" s="31">
        <v>1</v>
      </c>
      <c r="D66" s="34">
        <v>3.95</v>
      </c>
      <c r="E66" s="34">
        <f>C66*D66</f>
        <v>3.95</v>
      </c>
      <c r="F66" t="s">
        <v>249</v>
      </c>
    </row>
    <row r="67" spans="2:6" x14ac:dyDescent="0.2">
      <c r="B67" s="19" t="s">
        <v>250</v>
      </c>
      <c r="C67" s="31">
        <v>5</v>
      </c>
      <c r="D67" s="34">
        <v>3.95</v>
      </c>
      <c r="E67" s="34">
        <f>C67*D67</f>
        <v>19.75</v>
      </c>
      <c r="F67" t="s">
        <v>251</v>
      </c>
    </row>
    <row r="72" spans="2:6" x14ac:dyDescent="0.2">
      <c r="B72" s="22" t="s">
        <v>257</v>
      </c>
    </row>
    <row r="73" spans="2:6" x14ac:dyDescent="0.2">
      <c r="B73" s="19" t="s">
        <v>211</v>
      </c>
      <c r="C73" s="32">
        <v>3</v>
      </c>
      <c r="D73" s="34">
        <v>9.9499999999999993</v>
      </c>
      <c r="E73" s="34">
        <f>C73*D73</f>
        <v>29.849999999999998</v>
      </c>
      <c r="F73" t="s">
        <v>212</v>
      </c>
    </row>
    <row r="74" spans="2:6" x14ac:dyDescent="0.2">
      <c r="B74" s="19" t="s">
        <v>263</v>
      </c>
      <c r="C74" s="31">
        <v>1</v>
      </c>
      <c r="D74" s="34">
        <v>44.95</v>
      </c>
      <c r="E74" s="34">
        <f>C74*D74</f>
        <v>44.95</v>
      </c>
      <c r="F74" t="s">
        <v>261</v>
      </c>
    </row>
    <row r="75" spans="2:6" x14ac:dyDescent="0.2">
      <c r="B75" s="19" t="s">
        <v>265</v>
      </c>
      <c r="C75" s="31">
        <v>1</v>
      </c>
      <c r="D75" s="34">
        <v>19.95</v>
      </c>
      <c r="E75" s="34">
        <f>C75*D75</f>
        <v>19.95</v>
      </c>
      <c r="F75" t="s">
        <v>264</v>
      </c>
    </row>
    <row r="76" spans="2:6" x14ac:dyDescent="0.2">
      <c r="B76" s="19" t="s">
        <v>267</v>
      </c>
      <c r="C76" s="31">
        <v>1</v>
      </c>
      <c r="D76" s="34">
        <v>2.25</v>
      </c>
      <c r="E76" s="34">
        <f>C76*D76</f>
        <v>2.25</v>
      </c>
      <c r="F76" t="s">
        <v>266</v>
      </c>
    </row>
    <row r="78" spans="2:6" x14ac:dyDescent="0.2">
      <c r="B78" s="19"/>
    </row>
    <row r="79" spans="2:6" x14ac:dyDescent="0.2">
      <c r="B79" s="19"/>
    </row>
    <row r="80" spans="2:6" x14ac:dyDescent="0.2">
      <c r="B80" s="22" t="s">
        <v>254</v>
      </c>
    </row>
    <row r="82" spans="2:6" x14ac:dyDescent="0.2">
      <c r="B82" s="35" t="s">
        <v>258</v>
      </c>
    </row>
    <row r="83" spans="2:6" x14ac:dyDescent="0.2">
      <c r="B83" s="19" t="s">
        <v>255</v>
      </c>
      <c r="C83" s="31">
        <v>1</v>
      </c>
      <c r="D83" s="34">
        <v>24.95</v>
      </c>
      <c r="E83" s="34">
        <f>C83*D83</f>
        <v>24.95</v>
      </c>
      <c r="F83" t="s">
        <v>256</v>
      </c>
    </row>
    <row r="85" spans="2:6" x14ac:dyDescent="0.2">
      <c r="B85" s="35" t="s">
        <v>276</v>
      </c>
    </row>
    <row r="86" spans="2:6" x14ac:dyDescent="0.2">
      <c r="B86" s="19" t="s">
        <v>296</v>
      </c>
      <c r="C86" s="31">
        <v>2</v>
      </c>
      <c r="D86" s="34">
        <v>79.95</v>
      </c>
      <c r="E86" s="34">
        <f>C86*D86</f>
        <v>159.9</v>
      </c>
      <c r="F86" t="s">
        <v>295</v>
      </c>
    </row>
    <row r="87" spans="2:6" x14ac:dyDescent="0.2">
      <c r="B87" s="19" t="s">
        <v>297</v>
      </c>
      <c r="C87" s="32">
        <v>1</v>
      </c>
      <c r="D87" s="34">
        <v>9.9499999999999993</v>
      </c>
      <c r="E87" s="34">
        <f>C87*D87</f>
        <v>9.9499999999999993</v>
      </c>
      <c r="F87" t="s">
        <v>298</v>
      </c>
    </row>
    <row r="88" spans="2:6" x14ac:dyDescent="0.2">
      <c r="B88" s="19" t="s">
        <v>211</v>
      </c>
      <c r="C88" s="32">
        <v>2</v>
      </c>
      <c r="D88" s="34">
        <v>9.9499999999999993</v>
      </c>
      <c r="E88" s="34">
        <f>C88*D88</f>
        <v>19.899999999999999</v>
      </c>
      <c r="F88" t="s">
        <v>212</v>
      </c>
    </row>
    <row r="89" spans="2:6" x14ac:dyDescent="0.2">
      <c r="B89" s="19" t="s">
        <v>300</v>
      </c>
      <c r="C89" s="32">
        <v>6</v>
      </c>
      <c r="D89" s="34">
        <v>0.95</v>
      </c>
      <c r="E89" s="34">
        <f>C89*D89</f>
        <v>5.6999999999999993</v>
      </c>
      <c r="F89" t="s">
        <v>299</v>
      </c>
    </row>
    <row r="90" spans="2:6" x14ac:dyDescent="0.2">
      <c r="B90" s="19" t="s">
        <v>301</v>
      </c>
      <c r="C90" s="32">
        <v>1</v>
      </c>
      <c r="D90" s="34">
        <v>49.95</v>
      </c>
      <c r="E90" s="34">
        <f>C90*D90</f>
        <v>49.95</v>
      </c>
      <c r="F90" t="s">
        <v>302</v>
      </c>
    </row>
    <row r="92" spans="2:6" x14ac:dyDescent="0.2">
      <c r="B92" s="35" t="s">
        <v>259</v>
      </c>
    </row>
    <row r="93" spans="2:6" x14ac:dyDescent="0.2">
      <c r="B93" s="19" t="s">
        <v>294</v>
      </c>
      <c r="C93" s="31">
        <v>1</v>
      </c>
      <c r="D93" s="34">
        <v>8.9499999999999993</v>
      </c>
      <c r="E93" s="34">
        <f>C93*D93</f>
        <v>8.9499999999999993</v>
      </c>
      <c r="F93" s="19" t="s">
        <v>293</v>
      </c>
    </row>
    <row r="96" spans="2:6" x14ac:dyDescent="0.2">
      <c r="B96" s="35" t="s">
        <v>260</v>
      </c>
    </row>
    <row r="97" spans="2:6" x14ac:dyDescent="0.2">
      <c r="B97" s="19" t="s">
        <v>255</v>
      </c>
      <c r="C97" s="31">
        <v>1</v>
      </c>
      <c r="D97" s="34">
        <v>24.95</v>
      </c>
      <c r="E97" s="34">
        <f>C97*D97</f>
        <v>24.95</v>
      </c>
      <c r="F97" t="s">
        <v>256</v>
      </c>
    </row>
    <row r="99" spans="2:6" x14ac:dyDescent="0.2">
      <c r="B99" s="35" t="s">
        <v>268</v>
      </c>
    </row>
    <row r="100" spans="2:6" x14ac:dyDescent="0.2">
      <c r="B100" s="19" t="s">
        <v>269</v>
      </c>
      <c r="C100" s="31">
        <v>1</v>
      </c>
      <c r="D100" s="34">
        <v>79.95</v>
      </c>
      <c r="E100" s="34">
        <f>C100*D100</f>
        <v>79.95</v>
      </c>
      <c r="F100" s="13" t="s">
        <v>270</v>
      </c>
    </row>
    <row r="101" spans="2:6" x14ac:dyDescent="0.2">
      <c r="B101" s="19" t="s">
        <v>211</v>
      </c>
      <c r="C101" s="32">
        <v>1</v>
      </c>
      <c r="D101" s="34">
        <v>9.9499999999999993</v>
      </c>
      <c r="E101" s="34">
        <f>C101*D101</f>
        <v>9.9499999999999993</v>
      </c>
      <c r="F101" t="s">
        <v>212</v>
      </c>
    </row>
    <row r="102" spans="2:6" x14ac:dyDescent="0.2">
      <c r="B102" s="19" t="s">
        <v>228</v>
      </c>
      <c r="C102" s="31">
        <v>1</v>
      </c>
      <c r="D102" s="34">
        <v>89.95</v>
      </c>
      <c r="E102" s="34">
        <f>C102*D102</f>
        <v>89.95</v>
      </c>
      <c r="F102" t="s">
        <v>227</v>
      </c>
    </row>
    <row r="104" spans="2:6" x14ac:dyDescent="0.2">
      <c r="B104" s="35" t="s">
        <v>274</v>
      </c>
    </row>
    <row r="105" spans="2:6" x14ac:dyDescent="0.2">
      <c r="B105" s="19" t="s">
        <v>325</v>
      </c>
      <c r="C105" s="31">
        <v>3</v>
      </c>
      <c r="D105" s="34">
        <v>2.95</v>
      </c>
      <c r="E105" s="34">
        <f>C105*D105</f>
        <v>8.8500000000000014</v>
      </c>
      <c r="F105" t="s">
        <v>326</v>
      </c>
    </row>
    <row r="106" spans="2:6" x14ac:dyDescent="0.2">
      <c r="B106" s="19" t="s">
        <v>327</v>
      </c>
      <c r="C106" s="31">
        <v>3</v>
      </c>
      <c r="D106" s="34">
        <v>1.75</v>
      </c>
      <c r="E106" s="34">
        <f>C106*D106</f>
        <v>5.25</v>
      </c>
    </row>
    <row r="107" spans="2:6" x14ac:dyDescent="0.2">
      <c r="B107" s="19" t="s">
        <v>330</v>
      </c>
      <c r="C107" s="31">
        <v>8</v>
      </c>
      <c r="D107" s="34">
        <v>2.5</v>
      </c>
      <c r="E107" s="34">
        <f>C107*D107</f>
        <v>20</v>
      </c>
      <c r="F107" t="s">
        <v>331</v>
      </c>
    </row>
    <row r="108" spans="2:6" x14ac:dyDescent="0.2">
      <c r="B108" s="19" t="s">
        <v>328</v>
      </c>
      <c r="C108" s="31">
        <v>10</v>
      </c>
      <c r="D108" s="34">
        <v>1.25</v>
      </c>
      <c r="E108" s="34">
        <f>C108*D108</f>
        <v>12.5</v>
      </c>
      <c r="F108" t="s">
        <v>329</v>
      </c>
    </row>
    <row r="110" spans="2:6" x14ac:dyDescent="0.2">
      <c r="B110" s="22" t="s">
        <v>277</v>
      </c>
    </row>
    <row r="111" spans="2:6" x14ac:dyDescent="0.2">
      <c r="B111" s="19" t="s">
        <v>324</v>
      </c>
      <c r="C111" s="31">
        <v>1</v>
      </c>
      <c r="D111" s="34">
        <v>79.95</v>
      </c>
      <c r="E111" s="34">
        <f>C111*D111</f>
        <v>79.95</v>
      </c>
      <c r="F111" t="s">
        <v>278</v>
      </c>
    </row>
    <row r="113" spans="2:6" x14ac:dyDescent="0.2">
      <c r="B113" s="22" t="s">
        <v>279</v>
      </c>
    </row>
    <row r="114" spans="2:6" x14ac:dyDescent="0.2">
      <c r="B114" s="19" t="s">
        <v>280</v>
      </c>
      <c r="C114" s="31">
        <v>1</v>
      </c>
      <c r="D114" s="34">
        <v>159</v>
      </c>
      <c r="E114" s="34">
        <f>C114*D114</f>
        <v>159</v>
      </c>
      <c r="F114" t="s">
        <v>282</v>
      </c>
    </row>
    <row r="115" spans="2:6" x14ac:dyDescent="0.2">
      <c r="B115" s="35" t="s">
        <v>281</v>
      </c>
      <c r="C115" s="31">
        <v>1</v>
      </c>
      <c r="D115" s="34">
        <v>9</v>
      </c>
      <c r="E115" s="34">
        <f>C115*D115</f>
        <v>9</v>
      </c>
    </row>
    <row r="116" spans="2:6" x14ac:dyDescent="0.2">
      <c r="B116" s="19" t="s">
        <v>283</v>
      </c>
      <c r="C116" s="31">
        <v>2</v>
      </c>
      <c r="D116" s="34">
        <v>2.95</v>
      </c>
      <c r="E116" s="34">
        <f>C116*D116</f>
        <v>5.9</v>
      </c>
      <c r="F116" t="s">
        <v>284</v>
      </c>
    </row>
    <row r="117" spans="2:6" x14ac:dyDescent="0.2">
      <c r="B117" s="19" t="s">
        <v>286</v>
      </c>
      <c r="C117" s="31">
        <v>3</v>
      </c>
      <c r="D117" s="34">
        <v>3.95</v>
      </c>
      <c r="E117" s="34">
        <f>C117*D117</f>
        <v>11.850000000000001</v>
      </c>
      <c r="F117" t="s">
        <v>287</v>
      </c>
    </row>
    <row r="120" spans="2:6" x14ac:dyDescent="0.2">
      <c r="B120" s="22" t="s">
        <v>303</v>
      </c>
    </row>
    <row r="121" spans="2:6" x14ac:dyDescent="0.2">
      <c r="B121" s="19" t="s">
        <v>304</v>
      </c>
      <c r="C121" s="31">
        <v>3</v>
      </c>
      <c r="D121" s="34">
        <v>0.5</v>
      </c>
      <c r="E121" s="34">
        <f>C121*D121</f>
        <v>1.5</v>
      </c>
      <c r="F121" t="s">
        <v>305</v>
      </c>
    </row>
    <row r="122" spans="2:6" x14ac:dyDescent="0.2">
      <c r="B122" s="19" t="s">
        <v>306</v>
      </c>
      <c r="C122" s="31">
        <v>2</v>
      </c>
      <c r="D122" s="34">
        <v>0.5</v>
      </c>
      <c r="E122" s="34">
        <f t="shared" ref="E122:E130" si="0">C122*D122</f>
        <v>1</v>
      </c>
      <c r="F122" t="s">
        <v>307</v>
      </c>
    </row>
    <row r="123" spans="2:6" x14ac:dyDescent="0.2">
      <c r="B123" s="19" t="s">
        <v>308</v>
      </c>
      <c r="C123" s="31">
        <v>4</v>
      </c>
      <c r="D123" s="34">
        <v>0.5</v>
      </c>
      <c r="E123" s="34">
        <f t="shared" si="0"/>
        <v>2</v>
      </c>
      <c r="F123" t="s">
        <v>313</v>
      </c>
    </row>
    <row r="124" spans="2:6" x14ac:dyDescent="0.2">
      <c r="B124" s="19" t="s">
        <v>309</v>
      </c>
      <c r="C124" s="31">
        <v>22</v>
      </c>
      <c r="D124" s="34">
        <v>0.5</v>
      </c>
      <c r="E124" s="34">
        <f t="shared" si="0"/>
        <v>11</v>
      </c>
      <c r="F124" t="s">
        <v>312</v>
      </c>
    </row>
    <row r="125" spans="2:6" x14ac:dyDescent="0.2">
      <c r="B125" s="19" t="s">
        <v>310</v>
      </c>
      <c r="C125" s="31">
        <v>2</v>
      </c>
      <c r="D125" s="34">
        <v>0.5</v>
      </c>
      <c r="E125" s="34">
        <f t="shared" si="0"/>
        <v>1</v>
      </c>
      <c r="F125" t="s">
        <v>311</v>
      </c>
    </row>
    <row r="126" spans="2:6" x14ac:dyDescent="0.2">
      <c r="B126" s="19" t="s">
        <v>315</v>
      </c>
      <c r="C126" s="31">
        <v>10</v>
      </c>
      <c r="D126" s="34">
        <v>0.6</v>
      </c>
      <c r="E126" s="34">
        <f t="shared" si="0"/>
        <v>6</v>
      </c>
      <c r="F126" t="s">
        <v>314</v>
      </c>
    </row>
    <row r="127" spans="2:6" x14ac:dyDescent="0.2">
      <c r="B127" s="19" t="s">
        <v>316</v>
      </c>
      <c r="C127" s="31">
        <v>10</v>
      </c>
      <c r="D127" s="34">
        <v>0.5</v>
      </c>
      <c r="E127" s="34">
        <f t="shared" si="0"/>
        <v>5</v>
      </c>
      <c r="F127" t="s">
        <v>317</v>
      </c>
    </row>
    <row r="128" spans="2:6" x14ac:dyDescent="0.2">
      <c r="B128" s="19" t="s">
        <v>318</v>
      </c>
      <c r="C128" s="31">
        <v>3</v>
      </c>
      <c r="D128" s="34">
        <v>0.5</v>
      </c>
      <c r="E128" s="34">
        <f t="shared" si="0"/>
        <v>1.5</v>
      </c>
      <c r="F128" t="s">
        <v>319</v>
      </c>
    </row>
    <row r="129" spans="2:6" x14ac:dyDescent="0.2">
      <c r="B129" s="19" t="s">
        <v>321</v>
      </c>
      <c r="C129" s="31">
        <v>3</v>
      </c>
      <c r="D129" s="34">
        <v>0.5</v>
      </c>
      <c r="E129" s="34">
        <f t="shared" si="0"/>
        <v>1.5</v>
      </c>
      <c r="F129" t="s">
        <v>320</v>
      </c>
    </row>
    <row r="130" spans="2:6" x14ac:dyDescent="0.2">
      <c r="B130" s="19" t="s">
        <v>322</v>
      </c>
      <c r="C130" s="31">
        <v>8</v>
      </c>
      <c r="D130" s="34">
        <v>0.5</v>
      </c>
      <c r="E130" s="34">
        <f t="shared" si="0"/>
        <v>4</v>
      </c>
      <c r="F130" t="s">
        <v>323</v>
      </c>
    </row>
    <row r="131" spans="2:6" x14ac:dyDescent="0.2">
      <c r="B131" s="19"/>
    </row>
    <row r="132" spans="2:6" x14ac:dyDescent="0.2">
      <c r="B132" s="22" t="s">
        <v>153</v>
      </c>
      <c r="E132" s="34">
        <f>SUM(E10:E131)</f>
        <v>2554.5000000000005</v>
      </c>
    </row>
    <row r="133" spans="2:6" x14ac:dyDescent="0.2">
      <c r="B133" s="22" t="s">
        <v>285</v>
      </c>
      <c r="E133" s="34">
        <f>E132*1.52</f>
        <v>3882.8400000000006</v>
      </c>
    </row>
  </sheetData>
  <hyperlinks>
    <hyperlink ref="F54" r:id="rId1" xr:uid="{AFA3D4C4-4A60-41EC-91E1-C0BE2280CA62}"/>
    <hyperlink ref="F58" r:id="rId2" xr:uid="{533D12BA-C64F-4B57-A235-CAA7693E8104}"/>
    <hyperlink ref="F100" r:id="rId3" xr:uid="{AFBAFC51-125F-467C-A21A-077578E9595B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3975-05C0-4129-83D8-E594D8A76068}">
  <dimension ref="B7:F35"/>
  <sheetViews>
    <sheetView tabSelected="1" workbookViewId="0">
      <selection activeCell="C26" sqref="C26"/>
    </sheetView>
  </sheetViews>
  <sheetFormatPr defaultRowHeight="12.75" x14ac:dyDescent="0.2"/>
  <cols>
    <col min="2" max="2" width="40.42578125" customWidth="1"/>
    <col min="3" max="3" width="16" style="31" customWidth="1"/>
    <col min="4" max="4" width="17.28515625" style="34" customWidth="1"/>
    <col min="5" max="5" width="25.7109375" style="34" customWidth="1"/>
  </cols>
  <sheetData>
    <row r="7" spans="2:6" x14ac:dyDescent="0.2">
      <c r="C7" s="30" t="s">
        <v>213</v>
      </c>
      <c r="D7" s="33" t="s">
        <v>216</v>
      </c>
      <c r="E7" s="33" t="s">
        <v>151</v>
      </c>
    </row>
    <row r="10" spans="2:6" x14ac:dyDescent="0.2">
      <c r="B10" s="22" t="s">
        <v>209</v>
      </c>
    </row>
    <row r="11" spans="2:6" x14ac:dyDescent="0.2">
      <c r="B11" s="22"/>
    </row>
    <row r="12" spans="2:6" x14ac:dyDescent="0.2">
      <c r="B12" s="35"/>
    </row>
    <row r="13" spans="2:6" x14ac:dyDescent="0.2">
      <c r="B13" s="19" t="s">
        <v>367</v>
      </c>
      <c r="C13" s="32">
        <v>1</v>
      </c>
      <c r="D13" s="34">
        <v>14.95</v>
      </c>
      <c r="E13" s="34">
        <f t="shared" ref="E13:E20" si="0">C13*D13</f>
        <v>14.95</v>
      </c>
      <c r="F13" t="s">
        <v>366</v>
      </c>
    </row>
    <row r="14" spans="2:6" x14ac:dyDescent="0.2">
      <c r="B14" s="19" t="s">
        <v>369</v>
      </c>
      <c r="C14" s="32">
        <v>1</v>
      </c>
      <c r="D14" s="34">
        <v>14.95</v>
      </c>
      <c r="E14" s="34">
        <f t="shared" si="0"/>
        <v>14.95</v>
      </c>
      <c r="F14" t="s">
        <v>368</v>
      </c>
    </row>
    <row r="15" spans="2:6" x14ac:dyDescent="0.2">
      <c r="B15" s="19" t="s">
        <v>371</v>
      </c>
      <c r="C15" s="32">
        <v>2</v>
      </c>
      <c r="D15" s="34">
        <v>9.9499999999999993</v>
      </c>
      <c r="E15" s="34">
        <f t="shared" si="0"/>
        <v>19.899999999999999</v>
      </c>
      <c r="F15" t="s">
        <v>370</v>
      </c>
    </row>
    <row r="16" spans="2:6" x14ac:dyDescent="0.2">
      <c r="B16" s="19" t="s">
        <v>372</v>
      </c>
      <c r="C16" s="32">
        <v>1</v>
      </c>
      <c r="D16" s="34">
        <v>74.95</v>
      </c>
      <c r="E16" s="34">
        <f t="shared" si="0"/>
        <v>74.95</v>
      </c>
      <c r="F16" t="s">
        <v>47</v>
      </c>
    </row>
    <row r="17" spans="2:6" x14ac:dyDescent="0.2">
      <c r="B17" s="19" t="s">
        <v>374</v>
      </c>
      <c r="C17" s="32">
        <v>2</v>
      </c>
      <c r="D17" s="34">
        <v>2.95</v>
      </c>
      <c r="E17" s="34">
        <f t="shared" si="0"/>
        <v>5.9</v>
      </c>
      <c r="F17" t="s">
        <v>373</v>
      </c>
    </row>
    <row r="18" spans="2:6" x14ac:dyDescent="0.2">
      <c r="B18" s="19" t="s">
        <v>376</v>
      </c>
      <c r="C18" s="32">
        <v>2</v>
      </c>
      <c r="D18" s="34">
        <v>9.9499999999999993</v>
      </c>
      <c r="E18" s="34">
        <f t="shared" si="0"/>
        <v>19.899999999999999</v>
      </c>
      <c r="F18" t="s">
        <v>375</v>
      </c>
    </row>
    <row r="19" spans="2:6" x14ac:dyDescent="0.2">
      <c r="B19" s="19" t="s">
        <v>380</v>
      </c>
      <c r="C19" s="32">
        <v>10</v>
      </c>
      <c r="D19" s="34">
        <v>1.35</v>
      </c>
      <c r="E19" s="34">
        <f t="shared" si="0"/>
        <v>13.5</v>
      </c>
      <c r="F19" t="s">
        <v>381</v>
      </c>
    </row>
    <row r="20" spans="2:6" x14ac:dyDescent="0.2">
      <c r="B20" s="19" t="s">
        <v>382</v>
      </c>
      <c r="C20" s="32">
        <v>3</v>
      </c>
      <c r="D20" s="34">
        <v>2.25</v>
      </c>
      <c r="E20" s="34">
        <f t="shared" si="0"/>
        <v>6.75</v>
      </c>
      <c r="F20" t="s">
        <v>383</v>
      </c>
    </row>
    <row r="21" spans="2:6" x14ac:dyDescent="0.2">
      <c r="B21" s="19" t="s">
        <v>384</v>
      </c>
      <c r="C21" s="32">
        <v>1</v>
      </c>
      <c r="D21" s="34">
        <v>0.52</v>
      </c>
      <c r="E21" s="34">
        <f t="shared" ref="E21:E22" si="1">C21*D21</f>
        <v>0.52</v>
      </c>
      <c r="F21" t="s">
        <v>385</v>
      </c>
    </row>
    <row r="22" spans="2:6" x14ac:dyDescent="0.2">
      <c r="B22" s="19" t="s">
        <v>386</v>
      </c>
      <c r="C22" s="32">
        <v>30</v>
      </c>
      <c r="D22" s="34">
        <v>1.1299999999999999</v>
      </c>
      <c r="E22" s="34">
        <f t="shared" si="1"/>
        <v>33.9</v>
      </c>
      <c r="F22" t="s">
        <v>387</v>
      </c>
    </row>
    <row r="23" spans="2:6" x14ac:dyDescent="0.2">
      <c r="B23" s="19" t="s">
        <v>42</v>
      </c>
      <c r="C23" s="32">
        <v>1</v>
      </c>
      <c r="D23" s="34">
        <v>34.950000000000003</v>
      </c>
      <c r="E23" s="34">
        <f>C23*D23</f>
        <v>34.950000000000003</v>
      </c>
      <c r="F23" t="s">
        <v>40</v>
      </c>
    </row>
    <row r="24" spans="2:6" x14ac:dyDescent="0.2">
      <c r="B24" s="19" t="s">
        <v>390</v>
      </c>
      <c r="C24" s="32">
        <v>5</v>
      </c>
      <c r="D24" s="34">
        <v>0.79</v>
      </c>
      <c r="E24" s="34">
        <f>C24*D24</f>
        <v>3.95</v>
      </c>
      <c r="F24" t="s">
        <v>114</v>
      </c>
    </row>
    <row r="25" spans="2:6" x14ac:dyDescent="0.2">
      <c r="B25" s="19" t="s">
        <v>391</v>
      </c>
      <c r="C25" s="32">
        <v>4</v>
      </c>
      <c r="D25" s="34">
        <v>0.79</v>
      </c>
      <c r="E25" s="34">
        <f>C25*D25</f>
        <v>3.16</v>
      </c>
      <c r="F25" t="s">
        <v>114</v>
      </c>
    </row>
    <row r="26" spans="2:6" x14ac:dyDescent="0.2">
      <c r="B26" s="19" t="s">
        <v>392</v>
      </c>
      <c r="C26" s="32">
        <v>5</v>
      </c>
      <c r="D26" s="34">
        <v>0.79</v>
      </c>
      <c r="E26" s="34">
        <f>C26*D26</f>
        <v>3.95</v>
      </c>
      <c r="F26" t="s">
        <v>114</v>
      </c>
    </row>
    <row r="27" spans="2:6" x14ac:dyDescent="0.2">
      <c r="B27" s="19"/>
      <c r="C27" s="32"/>
    </row>
    <row r="28" spans="2:6" x14ac:dyDescent="0.2">
      <c r="B28" s="22" t="s">
        <v>279</v>
      </c>
      <c r="C28" s="32"/>
    </row>
    <row r="29" spans="2:6" x14ac:dyDescent="0.2">
      <c r="B29" s="19" t="s">
        <v>388</v>
      </c>
      <c r="C29" s="31">
        <v>1</v>
      </c>
      <c r="D29" s="34">
        <v>169</v>
      </c>
      <c r="E29" s="34">
        <f>C29*D29</f>
        <v>169</v>
      </c>
      <c r="F29" t="s">
        <v>389</v>
      </c>
    </row>
    <row r="30" spans="2:6" x14ac:dyDescent="0.2">
      <c r="B30" s="19"/>
      <c r="C30" s="32"/>
    </row>
    <row r="31" spans="2:6" x14ac:dyDescent="0.2">
      <c r="B31" s="22" t="s">
        <v>377</v>
      </c>
      <c r="C31" s="32"/>
    </row>
    <row r="32" spans="2:6" x14ac:dyDescent="0.2">
      <c r="B32" s="19" t="s">
        <v>379</v>
      </c>
      <c r="C32" s="32">
        <v>1</v>
      </c>
      <c r="D32" s="34">
        <v>25</v>
      </c>
      <c r="E32" s="34">
        <f>C32*D32</f>
        <v>25</v>
      </c>
      <c r="F32" t="s">
        <v>378</v>
      </c>
    </row>
    <row r="33" spans="2:5" x14ac:dyDescent="0.2">
      <c r="B33" s="19"/>
    </row>
    <row r="34" spans="2:5" x14ac:dyDescent="0.2">
      <c r="B34" s="22" t="s">
        <v>153</v>
      </c>
      <c r="E34" s="34">
        <f>SUM(E10:E33)</f>
        <v>445.23</v>
      </c>
    </row>
    <row r="35" spans="2:5" x14ac:dyDescent="0.2">
      <c r="B35" s="22" t="s">
        <v>285</v>
      </c>
      <c r="E35" s="34">
        <f>E34*1.52</f>
        <v>676.74959999999999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744D-2420-4ACE-A6ED-CCB21801F8D1}">
  <dimension ref="B9:P53"/>
  <sheetViews>
    <sheetView topLeftCell="A19" workbookViewId="0">
      <selection activeCell="G27" sqref="G27"/>
    </sheetView>
  </sheetViews>
  <sheetFormatPr defaultRowHeight="12.75" x14ac:dyDescent="0.2"/>
  <sheetData>
    <row r="9" spans="2:16" x14ac:dyDescent="0.2">
      <c r="B9" s="22" t="s">
        <v>332</v>
      </c>
      <c r="I9" s="22" t="s">
        <v>343</v>
      </c>
      <c r="P9" s="22" t="s">
        <v>344</v>
      </c>
    </row>
    <row r="10" spans="2:16" x14ac:dyDescent="0.2">
      <c r="P10" s="19" t="s">
        <v>345</v>
      </c>
    </row>
    <row r="12" spans="2:16" x14ac:dyDescent="0.2">
      <c r="B12" t="s">
        <v>335</v>
      </c>
      <c r="P12" t="s">
        <v>351</v>
      </c>
    </row>
    <row r="13" spans="2:16" x14ac:dyDescent="0.2">
      <c r="B13" t="s">
        <v>333</v>
      </c>
    </row>
    <row r="14" spans="2:16" x14ac:dyDescent="0.2">
      <c r="B14" t="s">
        <v>334</v>
      </c>
    </row>
    <row r="15" spans="2:16" x14ac:dyDescent="0.2">
      <c r="B15" s="19" t="s">
        <v>336</v>
      </c>
    </row>
    <row r="16" spans="2:16" x14ac:dyDescent="0.2">
      <c r="B16" s="19" t="s">
        <v>337</v>
      </c>
    </row>
    <row r="17" spans="2:2" x14ac:dyDescent="0.2">
      <c r="B17" s="19" t="s">
        <v>338</v>
      </c>
    </row>
    <row r="18" spans="2:2" x14ac:dyDescent="0.2">
      <c r="B18" s="19" t="s">
        <v>339</v>
      </c>
    </row>
    <row r="19" spans="2:2" x14ac:dyDescent="0.2">
      <c r="B19" s="19" t="s">
        <v>340</v>
      </c>
    </row>
    <row r="20" spans="2:2" x14ac:dyDescent="0.2">
      <c r="B20" s="19" t="s">
        <v>341</v>
      </c>
    </row>
    <row r="21" spans="2:2" x14ac:dyDescent="0.2">
      <c r="B21" s="19" t="s">
        <v>342</v>
      </c>
    </row>
    <row r="25" spans="2:2" x14ac:dyDescent="0.2">
      <c r="B25" t="s">
        <v>350</v>
      </c>
    </row>
    <row r="29" spans="2:2" x14ac:dyDescent="0.2">
      <c r="B29" t="s">
        <v>358</v>
      </c>
    </row>
    <row r="48" spans="9:9" x14ac:dyDescent="0.2">
      <c r="I48" s="35" t="s">
        <v>346</v>
      </c>
    </row>
    <row r="49" spans="9:9" x14ac:dyDescent="0.2">
      <c r="I49" t="s">
        <v>352</v>
      </c>
    </row>
    <row r="53" spans="9:9" x14ac:dyDescent="0.2">
      <c r="I53" s="22" t="s">
        <v>353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Parts</vt:lpstr>
      <vt:lpstr>First Order</vt:lpstr>
      <vt:lpstr>Second Order - Mar 2024</vt:lpstr>
      <vt:lpstr>Third Order - Oct 2024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Jackson</dc:creator>
  <cp:lastModifiedBy>Matt Jackson</cp:lastModifiedBy>
  <dcterms:created xsi:type="dcterms:W3CDTF">2023-01-20T19:58:25Z</dcterms:created>
  <dcterms:modified xsi:type="dcterms:W3CDTF">2024-10-30T04:34:25Z</dcterms:modified>
</cp:coreProperties>
</file>